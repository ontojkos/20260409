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rishakova.e\Desktop\Разное\"/>
    </mc:Choice>
  </mc:AlternateContent>
  <bookViews>
    <workbookView xWindow="0" yWindow="0" windowWidth="28800" windowHeight="11835" tabRatio="702" firstSheet="32" activeTab="46"/>
  </bookViews>
  <sheets>
    <sheet name="Лист1" sheetId="1" r:id="rId1"/>
    <sheet name="1770" sheetId="2" r:id="rId2"/>
    <sheet name="1796" sheetId="3" r:id="rId3"/>
    <sheet name="1801и1802" sheetId="4" r:id="rId4"/>
    <sheet name="1650" sheetId="5" r:id="rId5"/>
    <sheet name="1960" sheetId="6" r:id="rId6"/>
    <sheet name="1872и1926" sheetId="7" r:id="rId7"/>
    <sheet name="1899" sheetId="13" r:id="rId8"/>
    <sheet name="1900" sheetId="8" r:id="rId9"/>
    <sheet name="1932" sheetId="9" r:id="rId10"/>
    <sheet name="1933" sheetId="10" r:id="rId11"/>
    <sheet name="1934" sheetId="12" r:id="rId12"/>
    <sheet name="1947" sheetId="11" r:id="rId13"/>
    <sheet name="1964" sheetId="16" r:id="rId14"/>
    <sheet name="2080" sheetId="18" r:id="rId15"/>
    <sheet name="2086" sheetId="14" r:id="rId16"/>
    <sheet name="2126" sheetId="15" r:id="rId17"/>
    <sheet name="2162" sheetId="17" r:id="rId18"/>
    <sheet name="2183" sheetId="28" r:id="rId19"/>
    <sheet name="У510" sheetId="19" r:id="rId20"/>
    <sheet name="2206" sheetId="20" r:id="rId21"/>
    <sheet name="2222" sheetId="22" r:id="rId22"/>
    <sheet name="2225" sheetId="21" r:id="rId23"/>
    <sheet name="2242" sheetId="34" r:id="rId24"/>
    <sheet name="2293" sheetId="23" r:id="rId25"/>
    <sheet name="2333" sheetId="24" r:id="rId26"/>
    <sheet name="2334" sheetId="35" r:id="rId27"/>
    <sheet name="2335" sheetId="26" r:id="rId28"/>
    <sheet name="У512" sheetId="25" r:id="rId29"/>
    <sheet name="У513" sheetId="45" r:id="rId30"/>
    <sheet name="У514" sheetId="44" r:id="rId31"/>
    <sheet name="У515" sheetId="38" r:id="rId32"/>
    <sheet name="41" sheetId="27" r:id="rId33"/>
    <sheet name="52 и 104" sheetId="29" r:id="rId34"/>
    <sheet name="У56" sheetId="46" r:id="rId35"/>
    <sheet name="114" sheetId="30" r:id="rId36"/>
    <sheet name="129" sheetId="51" r:id="rId37"/>
    <sheet name="131" sheetId="41" r:id="rId38"/>
    <sheet name="132" sheetId="49" r:id="rId39"/>
    <sheet name="133" sheetId="33" r:id="rId40"/>
    <sheet name="134 и 159" sheetId="39" r:id="rId41"/>
    <sheet name="137 и 135" sheetId="32" r:id="rId42"/>
    <sheet name="186" sheetId="36" r:id="rId43"/>
    <sheet name="197" sheetId="40" r:id="rId44"/>
    <sheet name="214" sheetId="42" r:id="rId45"/>
    <sheet name="215" sheetId="43" r:id="rId46"/>
    <sheet name="229" sheetId="52" r:id="rId47"/>
    <sheet name="263" sheetId="53" r:id="rId48"/>
    <sheet name="287" sheetId="47" r:id="rId49"/>
    <sheet name="316" sheetId="55" r:id="rId50"/>
    <sheet name="327" sheetId="48" r:id="rId51"/>
    <sheet name="Баймен" sheetId="50" r:id="rId52"/>
    <sheet name="380" sheetId="57" r:id="rId53"/>
    <sheet name="387" sheetId="54" r:id="rId54"/>
    <sheet name="У78" sheetId="56" r:id="rId5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0" i="52" l="1"/>
  <c r="D49" i="52"/>
  <c r="D48" i="52"/>
  <c r="D47" i="52"/>
  <c r="D39" i="52"/>
  <c r="C48" i="52"/>
  <c r="C49" i="52"/>
  <c r="C50" i="52"/>
  <c r="C47" i="52"/>
  <c r="C42" i="57" l="1"/>
  <c r="C41" i="57"/>
  <c r="C40" i="57"/>
  <c r="C39" i="57"/>
  <c r="C34" i="57"/>
  <c r="A34" i="57"/>
  <c r="C33" i="57"/>
  <c r="A33" i="57"/>
  <c r="C32" i="57"/>
  <c r="A32" i="57"/>
  <c r="C31" i="57"/>
  <c r="A31" i="57"/>
  <c r="C30" i="57"/>
  <c r="A30" i="57"/>
  <c r="C29" i="57"/>
  <c r="A29" i="57"/>
  <c r="C28" i="57"/>
  <c r="A28" i="57"/>
  <c r="C27" i="57"/>
  <c r="A27" i="57"/>
  <c r="C26" i="57"/>
  <c r="A26" i="57"/>
  <c r="C25" i="57"/>
  <c r="A25" i="57"/>
  <c r="C24" i="57"/>
  <c r="A24" i="57"/>
  <c r="C23" i="57"/>
  <c r="A23" i="57"/>
  <c r="C22" i="57"/>
  <c r="A22" i="57"/>
  <c r="J21" i="57"/>
  <c r="I21" i="57"/>
  <c r="H21" i="57"/>
  <c r="G21" i="57"/>
  <c r="F21" i="57"/>
  <c r="E21" i="57"/>
  <c r="D21" i="57"/>
  <c r="C18" i="57"/>
  <c r="D41" i="57" s="1"/>
  <c r="F41" i="57" s="1"/>
  <c r="J16" i="57"/>
  <c r="J33" i="57" s="1"/>
  <c r="I15" i="57"/>
  <c r="I32" i="57" s="1"/>
  <c r="G13" i="57"/>
  <c r="G30" i="57" s="1"/>
  <c r="F12" i="57"/>
  <c r="F29" i="57" s="1"/>
  <c r="E11" i="57"/>
  <c r="E28" i="57" s="1"/>
  <c r="J8" i="57"/>
  <c r="J25" i="57" s="1"/>
  <c r="I7" i="57"/>
  <c r="I24" i="57" s="1"/>
  <c r="H6" i="57"/>
  <c r="H23" i="57" s="1"/>
  <c r="G5" i="57" l="1"/>
  <c r="G22" i="57" s="1"/>
  <c r="D10" i="57"/>
  <c r="D27" i="57" s="1"/>
  <c r="H14" i="57"/>
  <c r="H31" i="57" s="1"/>
  <c r="J5" i="57"/>
  <c r="J22" i="57" s="1"/>
  <c r="J35" i="57" s="1"/>
  <c r="D7" i="57"/>
  <c r="D24" i="57" s="1"/>
  <c r="E8" i="57"/>
  <c r="E25" i="57" s="1"/>
  <c r="F9" i="57"/>
  <c r="F26" i="57" s="1"/>
  <c r="G10" i="57"/>
  <c r="G27" i="57" s="1"/>
  <c r="H11" i="57"/>
  <c r="H28" i="57" s="1"/>
  <c r="I12" i="57"/>
  <c r="I29" i="57" s="1"/>
  <c r="J13" i="57"/>
  <c r="J30" i="57" s="1"/>
  <c r="D15" i="57"/>
  <c r="D32" i="57" s="1"/>
  <c r="E16" i="57"/>
  <c r="E33" i="57" s="1"/>
  <c r="F17" i="57"/>
  <c r="F34" i="57" s="1"/>
  <c r="D6" i="57"/>
  <c r="D23" i="57" s="1"/>
  <c r="E7" i="57"/>
  <c r="E24" i="57" s="1"/>
  <c r="F8" i="57"/>
  <c r="F25" i="57" s="1"/>
  <c r="G9" i="57"/>
  <c r="G26" i="57" s="1"/>
  <c r="H10" i="57"/>
  <c r="H27" i="57" s="1"/>
  <c r="I11" i="57"/>
  <c r="I28" i="57" s="1"/>
  <c r="J12" i="57"/>
  <c r="J29" i="57" s="1"/>
  <c r="D14" i="57"/>
  <c r="D31" i="57" s="1"/>
  <c r="E15" i="57"/>
  <c r="E32" i="57" s="1"/>
  <c r="F16" i="57"/>
  <c r="F33" i="57" s="1"/>
  <c r="G17" i="57"/>
  <c r="G34" i="57" s="1"/>
  <c r="F5" i="57"/>
  <c r="F22" i="57" s="1"/>
  <c r="G6" i="57"/>
  <c r="G23" i="57" s="1"/>
  <c r="H7" i="57"/>
  <c r="H24" i="57" s="1"/>
  <c r="I8" i="57"/>
  <c r="I25" i="57" s="1"/>
  <c r="J9" i="57"/>
  <c r="J26" i="57" s="1"/>
  <c r="D11" i="57"/>
  <c r="D28" i="57" s="1"/>
  <c r="E12" i="57"/>
  <c r="E29" i="57" s="1"/>
  <c r="F13" i="57"/>
  <c r="F30" i="57" s="1"/>
  <c r="G14" i="57"/>
  <c r="G31" i="57" s="1"/>
  <c r="H15" i="57"/>
  <c r="H32" i="57" s="1"/>
  <c r="I16" i="57"/>
  <c r="I33" i="57" s="1"/>
  <c r="J17" i="57"/>
  <c r="J34" i="57" s="1"/>
  <c r="D39" i="57"/>
  <c r="F39" i="57" s="1"/>
  <c r="D5" i="57"/>
  <c r="D22" i="57" s="1"/>
  <c r="H5" i="57"/>
  <c r="H22" i="57" s="1"/>
  <c r="E6" i="57"/>
  <c r="E23" i="57" s="1"/>
  <c r="I6" i="57"/>
  <c r="I23" i="57" s="1"/>
  <c r="F7" i="57"/>
  <c r="F24" i="57" s="1"/>
  <c r="J7" i="57"/>
  <c r="J24" i="57" s="1"/>
  <c r="G8" i="57"/>
  <c r="G25" i="57" s="1"/>
  <c r="D9" i="57"/>
  <c r="D26" i="57" s="1"/>
  <c r="H9" i="57"/>
  <c r="H26" i="57" s="1"/>
  <c r="E10" i="57"/>
  <c r="E27" i="57" s="1"/>
  <c r="I10" i="57"/>
  <c r="I27" i="57" s="1"/>
  <c r="F11" i="57"/>
  <c r="F28" i="57" s="1"/>
  <c r="J11" i="57"/>
  <c r="J28" i="57" s="1"/>
  <c r="G12" i="57"/>
  <c r="G29" i="57" s="1"/>
  <c r="D13" i="57"/>
  <c r="D30" i="57" s="1"/>
  <c r="H13" i="57"/>
  <c r="H30" i="57" s="1"/>
  <c r="E14" i="57"/>
  <c r="E31" i="57" s="1"/>
  <c r="I14" i="57"/>
  <c r="I31" i="57" s="1"/>
  <c r="F15" i="57"/>
  <c r="F32" i="57" s="1"/>
  <c r="J15" i="57"/>
  <c r="J32" i="57" s="1"/>
  <c r="G16" i="57"/>
  <c r="G33" i="57" s="1"/>
  <c r="D17" i="57"/>
  <c r="D34" i="57" s="1"/>
  <c r="H17" i="57"/>
  <c r="H34" i="57" s="1"/>
  <c r="C35" i="57"/>
  <c r="E5" i="57"/>
  <c r="E22" i="57" s="1"/>
  <c r="I5" i="57"/>
  <c r="I22" i="57" s="1"/>
  <c r="I35" i="57" s="1"/>
  <c r="F6" i="57"/>
  <c r="F23" i="57" s="1"/>
  <c r="J6" i="57"/>
  <c r="J23" i="57" s="1"/>
  <c r="G7" i="57"/>
  <c r="G24" i="57" s="1"/>
  <c r="D8" i="57"/>
  <c r="D25" i="57" s="1"/>
  <c r="H8" i="57"/>
  <c r="H25" i="57" s="1"/>
  <c r="E9" i="57"/>
  <c r="E26" i="57" s="1"/>
  <c r="I9" i="57"/>
  <c r="I26" i="57" s="1"/>
  <c r="F10" i="57"/>
  <c r="F27" i="57" s="1"/>
  <c r="F35" i="57" s="1"/>
  <c r="J10" i="57"/>
  <c r="J27" i="57" s="1"/>
  <c r="G11" i="57"/>
  <c r="G28" i="57" s="1"/>
  <c r="D12" i="57"/>
  <c r="D29" i="57" s="1"/>
  <c r="H12" i="57"/>
  <c r="H29" i="57" s="1"/>
  <c r="E13" i="57"/>
  <c r="E30" i="57" s="1"/>
  <c r="I13" i="57"/>
  <c r="I30" i="57" s="1"/>
  <c r="F14" i="57"/>
  <c r="F31" i="57" s="1"/>
  <c r="J14" i="57"/>
  <c r="J31" i="57" s="1"/>
  <c r="G15" i="57"/>
  <c r="G32" i="57" s="1"/>
  <c r="D16" i="57"/>
  <c r="D33" i="57" s="1"/>
  <c r="H16" i="57"/>
  <c r="H33" i="57" s="1"/>
  <c r="E17" i="57"/>
  <c r="E34" i="57" s="1"/>
  <c r="I17" i="57"/>
  <c r="I34" i="57" s="1"/>
  <c r="D40" i="57"/>
  <c r="F40" i="57" s="1"/>
  <c r="D42" i="57"/>
  <c r="F42" i="57" s="1"/>
  <c r="C42" i="56"/>
  <c r="C41" i="56"/>
  <c r="C40" i="56"/>
  <c r="C39" i="56"/>
  <c r="C34" i="56"/>
  <c r="A34" i="56"/>
  <c r="C33" i="56"/>
  <c r="A33" i="56"/>
  <c r="C32" i="56"/>
  <c r="A32" i="56"/>
  <c r="C31" i="56"/>
  <c r="A31" i="56"/>
  <c r="C30" i="56"/>
  <c r="A30" i="56"/>
  <c r="C29" i="56"/>
  <c r="A29" i="56"/>
  <c r="C28" i="56"/>
  <c r="A28" i="56"/>
  <c r="C27" i="56"/>
  <c r="A27" i="56"/>
  <c r="C26" i="56"/>
  <c r="A26" i="56"/>
  <c r="C25" i="56"/>
  <c r="A25" i="56"/>
  <c r="C24" i="56"/>
  <c r="A24" i="56"/>
  <c r="C23" i="56"/>
  <c r="A23" i="56"/>
  <c r="C22" i="56"/>
  <c r="A22" i="56"/>
  <c r="J21" i="56"/>
  <c r="I21" i="56"/>
  <c r="H21" i="56"/>
  <c r="G21" i="56"/>
  <c r="F21" i="56"/>
  <c r="E21" i="56"/>
  <c r="D21" i="56"/>
  <c r="C18" i="56"/>
  <c r="D42" i="56" s="1"/>
  <c r="F42" i="56" s="1"/>
  <c r="I16" i="56"/>
  <c r="I33" i="56" s="1"/>
  <c r="E15" i="56"/>
  <c r="E32" i="56" s="1"/>
  <c r="F12" i="56"/>
  <c r="F29" i="56" s="1"/>
  <c r="F11" i="56"/>
  <c r="F28" i="56" s="1"/>
  <c r="E10" i="56"/>
  <c r="E27" i="56" s="1"/>
  <c r="F8" i="56"/>
  <c r="F25" i="56" s="1"/>
  <c r="E7" i="56"/>
  <c r="E24" i="56" s="1"/>
  <c r="E6" i="56"/>
  <c r="E23" i="56" s="1"/>
  <c r="G35" i="57" l="1"/>
  <c r="H35" i="57"/>
  <c r="E35" i="57"/>
  <c r="D35" i="57"/>
  <c r="F5" i="56"/>
  <c r="F22" i="56" s="1"/>
  <c r="F9" i="56"/>
  <c r="F26" i="56" s="1"/>
  <c r="G13" i="56"/>
  <c r="G30" i="56" s="1"/>
  <c r="G5" i="56"/>
  <c r="G22" i="56" s="1"/>
  <c r="G6" i="56"/>
  <c r="G23" i="56" s="1"/>
  <c r="H7" i="56"/>
  <c r="H24" i="56" s="1"/>
  <c r="G8" i="56"/>
  <c r="G25" i="56" s="1"/>
  <c r="G9" i="56"/>
  <c r="G26" i="56" s="1"/>
  <c r="H10" i="56"/>
  <c r="H27" i="56" s="1"/>
  <c r="H11" i="56"/>
  <c r="H28" i="56" s="1"/>
  <c r="G12" i="56"/>
  <c r="G29" i="56" s="1"/>
  <c r="D14" i="56"/>
  <c r="D31" i="56" s="1"/>
  <c r="H15" i="56"/>
  <c r="H32" i="56" s="1"/>
  <c r="J16" i="56"/>
  <c r="J33" i="56" s="1"/>
  <c r="H5" i="56"/>
  <c r="H22" i="56" s="1"/>
  <c r="I6" i="56"/>
  <c r="I23" i="56" s="1"/>
  <c r="I7" i="56"/>
  <c r="I24" i="56" s="1"/>
  <c r="I8" i="56"/>
  <c r="I25" i="56" s="1"/>
  <c r="J9" i="56"/>
  <c r="J26" i="56" s="1"/>
  <c r="I10" i="56"/>
  <c r="I27" i="56" s="1"/>
  <c r="I11" i="56"/>
  <c r="I28" i="56" s="1"/>
  <c r="J12" i="56"/>
  <c r="J29" i="56" s="1"/>
  <c r="G14" i="56"/>
  <c r="G31" i="56" s="1"/>
  <c r="I15" i="56"/>
  <c r="I32" i="56" s="1"/>
  <c r="G17" i="56"/>
  <c r="G34" i="56" s="1"/>
  <c r="D6" i="56"/>
  <c r="D23" i="56" s="1"/>
  <c r="D7" i="56"/>
  <c r="D24" i="56" s="1"/>
  <c r="J7" i="56"/>
  <c r="J24" i="56" s="1"/>
  <c r="D9" i="56"/>
  <c r="D26" i="56" s="1"/>
  <c r="D10" i="56"/>
  <c r="D27" i="56" s="1"/>
  <c r="D11" i="56"/>
  <c r="D28" i="56" s="1"/>
  <c r="E12" i="56"/>
  <c r="E29" i="56" s="1"/>
  <c r="F13" i="56"/>
  <c r="F30" i="56" s="1"/>
  <c r="H14" i="56"/>
  <c r="H31" i="56" s="1"/>
  <c r="F16" i="56"/>
  <c r="F33" i="56" s="1"/>
  <c r="J17" i="56"/>
  <c r="J34" i="56" s="1"/>
  <c r="D39" i="56"/>
  <c r="F39" i="56" s="1"/>
  <c r="I17" i="56"/>
  <c r="I34" i="56" s="1"/>
  <c r="E17" i="56"/>
  <c r="E34" i="56" s="1"/>
  <c r="H16" i="56"/>
  <c r="H33" i="56" s="1"/>
  <c r="D16" i="56"/>
  <c r="D33" i="56" s="1"/>
  <c r="G15" i="56"/>
  <c r="G32" i="56" s="1"/>
  <c r="J14" i="56"/>
  <c r="J31" i="56" s="1"/>
  <c r="F14" i="56"/>
  <c r="F31" i="56" s="1"/>
  <c r="I13" i="56"/>
  <c r="I30" i="56" s="1"/>
  <c r="E13" i="56"/>
  <c r="E30" i="56" s="1"/>
  <c r="H12" i="56"/>
  <c r="H29" i="56" s="1"/>
  <c r="D12" i="56"/>
  <c r="D29" i="56" s="1"/>
  <c r="G11" i="56"/>
  <c r="G28" i="56" s="1"/>
  <c r="J10" i="56"/>
  <c r="J27" i="56" s="1"/>
  <c r="F10" i="56"/>
  <c r="F27" i="56" s="1"/>
  <c r="I9" i="56"/>
  <c r="I26" i="56" s="1"/>
  <c r="E9" i="56"/>
  <c r="E26" i="56" s="1"/>
  <c r="H8" i="56"/>
  <c r="H25" i="56" s="1"/>
  <c r="D8" i="56"/>
  <c r="D25" i="56" s="1"/>
  <c r="G7" i="56"/>
  <c r="G24" i="56" s="1"/>
  <c r="J6" i="56"/>
  <c r="J23" i="56" s="1"/>
  <c r="F6" i="56"/>
  <c r="F23" i="56" s="1"/>
  <c r="I5" i="56"/>
  <c r="I22" i="56" s="1"/>
  <c r="E5" i="56"/>
  <c r="E22" i="56" s="1"/>
  <c r="D40" i="56"/>
  <c r="F40" i="56" s="1"/>
  <c r="H17" i="56"/>
  <c r="H34" i="56" s="1"/>
  <c r="D17" i="56"/>
  <c r="D34" i="56" s="1"/>
  <c r="G16" i="56"/>
  <c r="G33" i="56" s="1"/>
  <c r="J15" i="56"/>
  <c r="J32" i="56" s="1"/>
  <c r="F15" i="56"/>
  <c r="F32" i="56" s="1"/>
  <c r="I14" i="56"/>
  <c r="I31" i="56" s="1"/>
  <c r="E14" i="56"/>
  <c r="E31" i="56" s="1"/>
  <c r="H13" i="56"/>
  <c r="H30" i="56" s="1"/>
  <c r="D13" i="56"/>
  <c r="D30" i="56" s="1"/>
  <c r="D41" i="56"/>
  <c r="F41" i="56" s="1"/>
  <c r="D5" i="56"/>
  <c r="D22" i="56" s="1"/>
  <c r="J5" i="56"/>
  <c r="J22" i="56" s="1"/>
  <c r="H6" i="56"/>
  <c r="H23" i="56" s="1"/>
  <c r="F7" i="56"/>
  <c r="F24" i="56" s="1"/>
  <c r="E8" i="56"/>
  <c r="E25" i="56" s="1"/>
  <c r="J8" i="56"/>
  <c r="J25" i="56" s="1"/>
  <c r="H9" i="56"/>
  <c r="H26" i="56" s="1"/>
  <c r="G10" i="56"/>
  <c r="G27" i="56" s="1"/>
  <c r="E11" i="56"/>
  <c r="E28" i="56" s="1"/>
  <c r="J11" i="56"/>
  <c r="J28" i="56" s="1"/>
  <c r="I12" i="56"/>
  <c r="I29" i="56" s="1"/>
  <c r="J13" i="56"/>
  <c r="J30" i="56" s="1"/>
  <c r="D15" i="56"/>
  <c r="D32" i="56" s="1"/>
  <c r="E16" i="56"/>
  <c r="E33" i="56" s="1"/>
  <c r="F17" i="56"/>
  <c r="F34" i="56" s="1"/>
  <c r="C35" i="56"/>
  <c r="E39" i="55"/>
  <c r="C42" i="55"/>
  <c r="C41" i="55"/>
  <c r="C40" i="55"/>
  <c r="C39" i="55"/>
  <c r="C34" i="55"/>
  <c r="A34" i="55"/>
  <c r="C33" i="55"/>
  <c r="A33" i="55"/>
  <c r="C32" i="55"/>
  <c r="A32" i="55"/>
  <c r="C31" i="55"/>
  <c r="A31" i="55"/>
  <c r="C30" i="55"/>
  <c r="A30" i="55"/>
  <c r="C29" i="55"/>
  <c r="A29" i="55"/>
  <c r="C28" i="55"/>
  <c r="A28" i="55"/>
  <c r="C27" i="55"/>
  <c r="A27" i="55"/>
  <c r="C26" i="55"/>
  <c r="A26" i="55"/>
  <c r="C25" i="55"/>
  <c r="A25" i="55"/>
  <c r="C24" i="55"/>
  <c r="A24" i="55"/>
  <c r="C23" i="55"/>
  <c r="A23" i="55"/>
  <c r="C22" i="55"/>
  <c r="A22" i="55"/>
  <c r="J21" i="55"/>
  <c r="I21" i="55"/>
  <c r="H21" i="55"/>
  <c r="G21" i="55"/>
  <c r="F21" i="55"/>
  <c r="E21" i="55"/>
  <c r="D21" i="55"/>
  <c r="C18" i="55"/>
  <c r="F16" i="55" s="1"/>
  <c r="F33" i="55" s="1"/>
  <c r="J16" i="55"/>
  <c r="J33" i="55" s="1"/>
  <c r="J11" i="55"/>
  <c r="J28" i="55" s="1"/>
  <c r="H6" i="55"/>
  <c r="H23" i="55" s="1"/>
  <c r="I5" i="55"/>
  <c r="I22" i="55" s="1"/>
  <c r="G35" i="56" l="1"/>
  <c r="H35" i="56"/>
  <c r="F35" i="56"/>
  <c r="D35" i="56"/>
  <c r="E35" i="56"/>
  <c r="I35" i="56"/>
  <c r="J35" i="56"/>
  <c r="F10" i="55"/>
  <c r="F27" i="55" s="1"/>
  <c r="F7" i="55"/>
  <c r="F24" i="55" s="1"/>
  <c r="H12" i="55"/>
  <c r="H29" i="55" s="1"/>
  <c r="J8" i="55"/>
  <c r="J25" i="55" s="1"/>
  <c r="I15" i="55"/>
  <c r="I32" i="55" s="1"/>
  <c r="H9" i="55"/>
  <c r="H26" i="55" s="1"/>
  <c r="G13" i="55"/>
  <c r="G30" i="55" s="1"/>
  <c r="D5" i="55"/>
  <c r="D22" i="55" s="1"/>
  <c r="D8" i="55"/>
  <c r="D25" i="55" s="1"/>
  <c r="E11" i="55"/>
  <c r="E28" i="55" s="1"/>
  <c r="H14" i="55"/>
  <c r="H31" i="55" s="1"/>
  <c r="D6" i="55"/>
  <c r="D23" i="55" s="1"/>
  <c r="G7" i="55"/>
  <c r="G24" i="55" s="1"/>
  <c r="D9" i="55"/>
  <c r="D26" i="55" s="1"/>
  <c r="H10" i="55"/>
  <c r="H27" i="55" s="1"/>
  <c r="D12" i="55"/>
  <c r="D29" i="55" s="1"/>
  <c r="H13" i="55"/>
  <c r="H30" i="55" s="1"/>
  <c r="I14" i="55"/>
  <c r="I31" i="55" s="1"/>
  <c r="J15" i="55"/>
  <c r="J32" i="55" s="1"/>
  <c r="D17" i="55"/>
  <c r="D34" i="55" s="1"/>
  <c r="C35" i="55"/>
  <c r="G5" i="55"/>
  <c r="G22" i="55" s="1"/>
  <c r="I7" i="55"/>
  <c r="I24" i="55" s="1"/>
  <c r="D10" i="55"/>
  <c r="D27" i="55" s="1"/>
  <c r="F12" i="55"/>
  <c r="F29" i="55" s="1"/>
  <c r="D41" i="55"/>
  <c r="F41" i="55" s="1"/>
  <c r="D42" i="55"/>
  <c r="F42" i="55" s="1"/>
  <c r="J17" i="55"/>
  <c r="J34" i="55" s="1"/>
  <c r="F17" i="55"/>
  <c r="F34" i="55" s="1"/>
  <c r="I16" i="55"/>
  <c r="I33" i="55" s="1"/>
  <c r="E16" i="55"/>
  <c r="E33" i="55" s="1"/>
  <c r="H15" i="55"/>
  <c r="H32" i="55" s="1"/>
  <c r="D15" i="55"/>
  <c r="D32" i="55" s="1"/>
  <c r="G14" i="55"/>
  <c r="G31" i="55" s="1"/>
  <c r="J13" i="55"/>
  <c r="J30" i="55" s="1"/>
  <c r="F13" i="55"/>
  <c r="F30" i="55" s="1"/>
  <c r="I12" i="55"/>
  <c r="I29" i="55" s="1"/>
  <c r="E12" i="55"/>
  <c r="E29" i="55" s="1"/>
  <c r="H11" i="55"/>
  <c r="H28" i="55" s="1"/>
  <c r="D11" i="55"/>
  <c r="D28" i="55" s="1"/>
  <c r="G10" i="55"/>
  <c r="G27" i="55" s="1"/>
  <c r="J9" i="55"/>
  <c r="J26" i="55" s="1"/>
  <c r="F9" i="55"/>
  <c r="F26" i="55" s="1"/>
  <c r="I8" i="55"/>
  <c r="I25" i="55" s="1"/>
  <c r="E8" i="55"/>
  <c r="E25" i="55" s="1"/>
  <c r="H7" i="55"/>
  <c r="H24" i="55" s="1"/>
  <c r="D7" i="55"/>
  <c r="D24" i="55" s="1"/>
  <c r="G6" i="55"/>
  <c r="G23" i="55" s="1"/>
  <c r="J5" i="55"/>
  <c r="J22" i="55" s="1"/>
  <c r="F5" i="55"/>
  <c r="F22" i="55" s="1"/>
  <c r="D39" i="55"/>
  <c r="F39" i="55" s="1"/>
  <c r="I17" i="55"/>
  <c r="I34" i="55" s="1"/>
  <c r="E17" i="55"/>
  <c r="E34" i="55" s="1"/>
  <c r="H16" i="55"/>
  <c r="H33" i="55" s="1"/>
  <c r="D16" i="55"/>
  <c r="D33" i="55" s="1"/>
  <c r="G15" i="55"/>
  <c r="G32" i="55" s="1"/>
  <c r="J14" i="55"/>
  <c r="J31" i="55" s="1"/>
  <c r="F14" i="55"/>
  <c r="F31" i="55" s="1"/>
  <c r="I13" i="55"/>
  <c r="I30" i="55" s="1"/>
  <c r="D40" i="55"/>
  <c r="F40" i="55" s="1"/>
  <c r="E5" i="55"/>
  <c r="E22" i="55" s="1"/>
  <c r="I6" i="55"/>
  <c r="I23" i="55" s="1"/>
  <c r="F8" i="55"/>
  <c r="F25" i="55" s="1"/>
  <c r="I9" i="55"/>
  <c r="I26" i="55" s="1"/>
  <c r="F11" i="55"/>
  <c r="F28" i="55" s="1"/>
  <c r="J12" i="55"/>
  <c r="J29" i="55" s="1"/>
  <c r="E6" i="55"/>
  <c r="E23" i="55" s="1"/>
  <c r="J6" i="55"/>
  <c r="J23" i="55" s="1"/>
  <c r="G8" i="55"/>
  <c r="G25" i="55" s="1"/>
  <c r="E9" i="55"/>
  <c r="E26" i="55" s="1"/>
  <c r="I10" i="55"/>
  <c r="I27" i="55" s="1"/>
  <c r="G11" i="55"/>
  <c r="G28" i="55" s="1"/>
  <c r="D13" i="55"/>
  <c r="D30" i="55" s="1"/>
  <c r="D14" i="55"/>
  <c r="D31" i="55" s="1"/>
  <c r="E15" i="55"/>
  <c r="E32" i="55" s="1"/>
  <c r="G17" i="55"/>
  <c r="G34" i="55" s="1"/>
  <c r="H5" i="55"/>
  <c r="H22" i="55" s="1"/>
  <c r="F6" i="55"/>
  <c r="F23" i="55" s="1"/>
  <c r="E7" i="55"/>
  <c r="E24" i="55" s="1"/>
  <c r="J7" i="55"/>
  <c r="J24" i="55" s="1"/>
  <c r="H8" i="55"/>
  <c r="H25" i="55" s="1"/>
  <c r="G9" i="55"/>
  <c r="G26" i="55" s="1"/>
  <c r="E10" i="55"/>
  <c r="E27" i="55" s="1"/>
  <c r="J10" i="55"/>
  <c r="J27" i="55" s="1"/>
  <c r="I11" i="55"/>
  <c r="I28" i="55" s="1"/>
  <c r="G12" i="55"/>
  <c r="G29" i="55" s="1"/>
  <c r="E13" i="55"/>
  <c r="E30" i="55" s="1"/>
  <c r="E14" i="55"/>
  <c r="E31" i="55" s="1"/>
  <c r="F15" i="55"/>
  <c r="F32" i="55" s="1"/>
  <c r="G16" i="55"/>
  <c r="G33" i="55" s="1"/>
  <c r="H17" i="55"/>
  <c r="H34" i="55" s="1"/>
  <c r="C42" i="54"/>
  <c r="C41" i="54"/>
  <c r="C40" i="54"/>
  <c r="C39" i="54"/>
  <c r="C34" i="54"/>
  <c r="A34" i="54"/>
  <c r="C33" i="54"/>
  <c r="A33" i="54"/>
  <c r="C32" i="54"/>
  <c r="A32" i="54"/>
  <c r="C31" i="54"/>
  <c r="A31" i="54"/>
  <c r="C30" i="54"/>
  <c r="A30" i="54"/>
  <c r="C29" i="54"/>
  <c r="A29" i="54"/>
  <c r="C28" i="54"/>
  <c r="A28" i="54"/>
  <c r="C27" i="54"/>
  <c r="A27" i="54"/>
  <c r="C26" i="54"/>
  <c r="A26" i="54"/>
  <c r="C25" i="54"/>
  <c r="A25" i="54"/>
  <c r="C24" i="54"/>
  <c r="A24" i="54"/>
  <c r="C23" i="54"/>
  <c r="A23" i="54"/>
  <c r="C22" i="54"/>
  <c r="A22" i="54"/>
  <c r="J21" i="54"/>
  <c r="I21" i="54"/>
  <c r="H21" i="54"/>
  <c r="G21" i="54"/>
  <c r="F21" i="54"/>
  <c r="E21" i="54"/>
  <c r="D21" i="54"/>
  <c r="C18" i="54"/>
  <c r="F16" i="54" s="1"/>
  <c r="F33" i="54" s="1"/>
  <c r="C42" i="53"/>
  <c r="C41" i="53"/>
  <c r="C40" i="53"/>
  <c r="C39" i="53"/>
  <c r="C34" i="53"/>
  <c r="A34" i="53"/>
  <c r="C33" i="53"/>
  <c r="A33" i="53"/>
  <c r="C32" i="53"/>
  <c r="A32" i="53"/>
  <c r="C31" i="53"/>
  <c r="A31" i="53"/>
  <c r="C30" i="53"/>
  <c r="A30" i="53"/>
  <c r="C29" i="53"/>
  <c r="A29" i="53"/>
  <c r="C28" i="53"/>
  <c r="A28" i="53"/>
  <c r="C27" i="53"/>
  <c r="A27" i="53"/>
  <c r="C26" i="53"/>
  <c r="A26" i="53"/>
  <c r="C25" i="53"/>
  <c r="A25" i="53"/>
  <c r="C24" i="53"/>
  <c r="A24" i="53"/>
  <c r="C23" i="53"/>
  <c r="A23" i="53"/>
  <c r="C22" i="53"/>
  <c r="A22" i="53"/>
  <c r="J21" i="53"/>
  <c r="I21" i="53"/>
  <c r="H21" i="53"/>
  <c r="G21" i="53"/>
  <c r="F21" i="53"/>
  <c r="E21" i="53"/>
  <c r="D21" i="53"/>
  <c r="C18" i="53"/>
  <c r="G17" i="53" s="1"/>
  <c r="G34" i="53" s="1"/>
  <c r="E15" i="53"/>
  <c r="E32" i="53" s="1"/>
  <c r="F12" i="53"/>
  <c r="F29" i="53" s="1"/>
  <c r="F8" i="53"/>
  <c r="F25" i="53" s="1"/>
  <c r="E6" i="53"/>
  <c r="E23" i="53" s="1"/>
  <c r="I35" i="55" l="1"/>
  <c r="D35" i="55"/>
  <c r="F35" i="55"/>
  <c r="H35" i="55"/>
  <c r="E35" i="55"/>
  <c r="J35" i="55"/>
  <c r="G35" i="55"/>
  <c r="F7" i="54"/>
  <c r="F24" i="54" s="1"/>
  <c r="J11" i="54"/>
  <c r="J28" i="54" s="1"/>
  <c r="G8" i="54"/>
  <c r="G25" i="54" s="1"/>
  <c r="D13" i="54"/>
  <c r="D30" i="54" s="1"/>
  <c r="D5" i="54"/>
  <c r="D22" i="54" s="1"/>
  <c r="H9" i="54"/>
  <c r="H26" i="54" s="1"/>
  <c r="E14" i="54"/>
  <c r="E31" i="54" s="1"/>
  <c r="E6" i="54"/>
  <c r="E23" i="54" s="1"/>
  <c r="I10" i="54"/>
  <c r="I27" i="54" s="1"/>
  <c r="I15" i="54"/>
  <c r="I32" i="54" s="1"/>
  <c r="H5" i="54"/>
  <c r="H22" i="54" s="1"/>
  <c r="I6" i="54"/>
  <c r="I23" i="54" s="1"/>
  <c r="J7" i="54"/>
  <c r="J24" i="54" s="1"/>
  <c r="D9" i="54"/>
  <c r="D26" i="54" s="1"/>
  <c r="E10" i="54"/>
  <c r="E27" i="54" s="1"/>
  <c r="F11" i="54"/>
  <c r="F28" i="54" s="1"/>
  <c r="G12" i="54"/>
  <c r="G29" i="54" s="1"/>
  <c r="H13" i="54"/>
  <c r="H30" i="54" s="1"/>
  <c r="I14" i="54"/>
  <c r="I31" i="54" s="1"/>
  <c r="J16" i="54"/>
  <c r="J33" i="54" s="1"/>
  <c r="D6" i="54"/>
  <c r="D23" i="54" s="1"/>
  <c r="E7" i="54"/>
  <c r="E24" i="54" s="1"/>
  <c r="F8" i="54"/>
  <c r="F25" i="54" s="1"/>
  <c r="G9" i="54"/>
  <c r="G26" i="54" s="1"/>
  <c r="H10" i="54"/>
  <c r="H27" i="54" s="1"/>
  <c r="I11" i="54"/>
  <c r="I28" i="54" s="1"/>
  <c r="J12" i="54"/>
  <c r="J29" i="54" s="1"/>
  <c r="D14" i="54"/>
  <c r="D31" i="54" s="1"/>
  <c r="E15" i="54"/>
  <c r="E32" i="54" s="1"/>
  <c r="G17" i="54"/>
  <c r="G34" i="54" s="1"/>
  <c r="G5" i="54"/>
  <c r="G22" i="54" s="1"/>
  <c r="H6" i="54"/>
  <c r="H23" i="54" s="1"/>
  <c r="I7" i="54"/>
  <c r="I24" i="54" s="1"/>
  <c r="J8" i="54"/>
  <c r="J25" i="54" s="1"/>
  <c r="D10" i="54"/>
  <c r="D27" i="54" s="1"/>
  <c r="E11" i="54"/>
  <c r="E28" i="54" s="1"/>
  <c r="F12" i="54"/>
  <c r="F29" i="54" s="1"/>
  <c r="G13" i="54"/>
  <c r="G30" i="54" s="1"/>
  <c r="H14" i="54"/>
  <c r="H31" i="54" s="1"/>
  <c r="D41" i="54"/>
  <c r="F41" i="54" s="1"/>
  <c r="D42" i="54"/>
  <c r="F42" i="54" s="1"/>
  <c r="J17" i="54"/>
  <c r="J34" i="54" s="1"/>
  <c r="F17" i="54"/>
  <c r="F34" i="54" s="1"/>
  <c r="I16" i="54"/>
  <c r="I33" i="54" s="1"/>
  <c r="E16" i="54"/>
  <c r="E33" i="54" s="1"/>
  <c r="H15" i="54"/>
  <c r="H32" i="54" s="1"/>
  <c r="D15" i="54"/>
  <c r="D32" i="54" s="1"/>
  <c r="G14" i="54"/>
  <c r="G31" i="54" s="1"/>
  <c r="J13" i="54"/>
  <c r="J30" i="54" s="1"/>
  <c r="F13" i="54"/>
  <c r="F30" i="54" s="1"/>
  <c r="I12" i="54"/>
  <c r="I29" i="54" s="1"/>
  <c r="E12" i="54"/>
  <c r="E29" i="54" s="1"/>
  <c r="H11" i="54"/>
  <c r="H28" i="54" s="1"/>
  <c r="D11" i="54"/>
  <c r="D28" i="54" s="1"/>
  <c r="G10" i="54"/>
  <c r="G27" i="54" s="1"/>
  <c r="J9" i="54"/>
  <c r="J26" i="54" s="1"/>
  <c r="F9" i="54"/>
  <c r="F26" i="54" s="1"/>
  <c r="I8" i="54"/>
  <c r="I25" i="54" s="1"/>
  <c r="E8" i="54"/>
  <c r="E25" i="54" s="1"/>
  <c r="H7" i="54"/>
  <c r="H24" i="54" s="1"/>
  <c r="D7" i="54"/>
  <c r="D24" i="54" s="1"/>
  <c r="G6" i="54"/>
  <c r="G23" i="54" s="1"/>
  <c r="J5" i="54"/>
  <c r="J22" i="54" s="1"/>
  <c r="F5" i="54"/>
  <c r="F22" i="54" s="1"/>
  <c r="D39" i="54"/>
  <c r="F39" i="54" s="1"/>
  <c r="I17" i="54"/>
  <c r="I34" i="54" s="1"/>
  <c r="E17" i="54"/>
  <c r="E34" i="54" s="1"/>
  <c r="H16" i="54"/>
  <c r="H33" i="54" s="1"/>
  <c r="D16" i="54"/>
  <c r="D33" i="54" s="1"/>
  <c r="G15" i="54"/>
  <c r="G32" i="54" s="1"/>
  <c r="J14" i="54"/>
  <c r="J31" i="54" s="1"/>
  <c r="F14" i="54"/>
  <c r="F31" i="54" s="1"/>
  <c r="I13" i="54"/>
  <c r="I30" i="54" s="1"/>
  <c r="E13" i="54"/>
  <c r="E30" i="54" s="1"/>
  <c r="H12" i="54"/>
  <c r="H29" i="54" s="1"/>
  <c r="D12" i="54"/>
  <c r="D29" i="54" s="1"/>
  <c r="G11" i="54"/>
  <c r="G28" i="54" s="1"/>
  <c r="J10" i="54"/>
  <c r="J27" i="54" s="1"/>
  <c r="F10" i="54"/>
  <c r="F27" i="54" s="1"/>
  <c r="I9" i="54"/>
  <c r="I26" i="54" s="1"/>
  <c r="E9" i="54"/>
  <c r="E26" i="54" s="1"/>
  <c r="H8" i="54"/>
  <c r="H25" i="54" s="1"/>
  <c r="D8" i="54"/>
  <c r="D25" i="54" s="1"/>
  <c r="G7" i="54"/>
  <c r="G24" i="54" s="1"/>
  <c r="J6" i="54"/>
  <c r="J23" i="54" s="1"/>
  <c r="F6" i="54"/>
  <c r="F23" i="54" s="1"/>
  <c r="I5" i="54"/>
  <c r="I22" i="54" s="1"/>
  <c r="E5" i="54"/>
  <c r="E22" i="54" s="1"/>
  <c r="H17" i="54"/>
  <c r="H34" i="54" s="1"/>
  <c r="D17" i="54"/>
  <c r="D34" i="54" s="1"/>
  <c r="G16" i="54"/>
  <c r="G33" i="54" s="1"/>
  <c r="J15" i="54"/>
  <c r="J32" i="54" s="1"/>
  <c r="F15" i="54"/>
  <c r="F32" i="54" s="1"/>
  <c r="D40" i="54"/>
  <c r="F40" i="54" s="1"/>
  <c r="C35" i="54"/>
  <c r="E10" i="53"/>
  <c r="E27" i="53" s="1"/>
  <c r="D7" i="53"/>
  <c r="D24" i="53" s="1"/>
  <c r="D9" i="53"/>
  <c r="D26" i="53" s="1"/>
  <c r="D11" i="53"/>
  <c r="D28" i="53" s="1"/>
  <c r="F13" i="53"/>
  <c r="F30" i="53" s="1"/>
  <c r="F16" i="53"/>
  <c r="F33" i="53" s="1"/>
  <c r="F5" i="53"/>
  <c r="F22" i="53" s="1"/>
  <c r="E7" i="53"/>
  <c r="E24" i="53" s="1"/>
  <c r="F9" i="53"/>
  <c r="F26" i="53" s="1"/>
  <c r="F11" i="53"/>
  <c r="F28" i="53" s="1"/>
  <c r="G13" i="53"/>
  <c r="G30" i="53" s="1"/>
  <c r="I16" i="53"/>
  <c r="I33" i="53" s="1"/>
  <c r="D6" i="53"/>
  <c r="D23" i="53" s="1"/>
  <c r="J7" i="53"/>
  <c r="J24" i="53" s="1"/>
  <c r="D10" i="53"/>
  <c r="D27" i="53" s="1"/>
  <c r="E12" i="53"/>
  <c r="E29" i="53" s="1"/>
  <c r="H14" i="53"/>
  <c r="H31" i="53" s="1"/>
  <c r="J17" i="53"/>
  <c r="J34" i="53" s="1"/>
  <c r="D42" i="53"/>
  <c r="F42" i="53" s="1"/>
  <c r="G5" i="53"/>
  <c r="G22" i="53" s="1"/>
  <c r="G6" i="53"/>
  <c r="G23" i="53" s="1"/>
  <c r="H7" i="53"/>
  <c r="H24" i="53" s="1"/>
  <c r="G8" i="53"/>
  <c r="G25" i="53" s="1"/>
  <c r="G9" i="53"/>
  <c r="G26" i="53" s="1"/>
  <c r="H10" i="53"/>
  <c r="H27" i="53" s="1"/>
  <c r="H11" i="53"/>
  <c r="H28" i="53" s="1"/>
  <c r="G12" i="53"/>
  <c r="G29" i="53" s="1"/>
  <c r="D14" i="53"/>
  <c r="D31" i="53" s="1"/>
  <c r="H15" i="53"/>
  <c r="H32" i="53" s="1"/>
  <c r="J16" i="53"/>
  <c r="J33" i="53" s="1"/>
  <c r="H5" i="53"/>
  <c r="H22" i="53" s="1"/>
  <c r="I6" i="53"/>
  <c r="I23" i="53" s="1"/>
  <c r="I7" i="53"/>
  <c r="I24" i="53" s="1"/>
  <c r="I8" i="53"/>
  <c r="I25" i="53" s="1"/>
  <c r="J9" i="53"/>
  <c r="J26" i="53" s="1"/>
  <c r="I10" i="53"/>
  <c r="I27" i="53" s="1"/>
  <c r="I11" i="53"/>
  <c r="I28" i="53" s="1"/>
  <c r="J12" i="53"/>
  <c r="J29" i="53" s="1"/>
  <c r="G14" i="53"/>
  <c r="G31" i="53" s="1"/>
  <c r="I15" i="53"/>
  <c r="I32" i="53" s="1"/>
  <c r="D39" i="53"/>
  <c r="F39" i="53" s="1"/>
  <c r="I17" i="53"/>
  <c r="I34" i="53" s="1"/>
  <c r="E17" i="53"/>
  <c r="E34" i="53" s="1"/>
  <c r="H16" i="53"/>
  <c r="H33" i="53" s="1"/>
  <c r="D16" i="53"/>
  <c r="D33" i="53" s="1"/>
  <c r="G15" i="53"/>
  <c r="G32" i="53" s="1"/>
  <c r="J14" i="53"/>
  <c r="J31" i="53" s="1"/>
  <c r="F14" i="53"/>
  <c r="F31" i="53" s="1"/>
  <c r="I13" i="53"/>
  <c r="I30" i="53" s="1"/>
  <c r="E13" i="53"/>
  <c r="E30" i="53" s="1"/>
  <c r="H12" i="53"/>
  <c r="H29" i="53" s="1"/>
  <c r="D12" i="53"/>
  <c r="D29" i="53" s="1"/>
  <c r="G11" i="53"/>
  <c r="G28" i="53" s="1"/>
  <c r="J10" i="53"/>
  <c r="J27" i="53" s="1"/>
  <c r="F10" i="53"/>
  <c r="F27" i="53" s="1"/>
  <c r="I9" i="53"/>
  <c r="I26" i="53" s="1"/>
  <c r="E9" i="53"/>
  <c r="E26" i="53" s="1"/>
  <c r="H8" i="53"/>
  <c r="H25" i="53" s="1"/>
  <c r="D8" i="53"/>
  <c r="D25" i="53" s="1"/>
  <c r="G7" i="53"/>
  <c r="G24" i="53" s="1"/>
  <c r="J6" i="53"/>
  <c r="J23" i="53" s="1"/>
  <c r="F6" i="53"/>
  <c r="F23" i="53" s="1"/>
  <c r="I5" i="53"/>
  <c r="I22" i="53" s="1"/>
  <c r="E5" i="53"/>
  <c r="E22" i="53" s="1"/>
  <c r="D40" i="53"/>
  <c r="F40" i="53" s="1"/>
  <c r="H17" i="53"/>
  <c r="H34" i="53" s="1"/>
  <c r="D17" i="53"/>
  <c r="D34" i="53" s="1"/>
  <c r="G16" i="53"/>
  <c r="G33" i="53" s="1"/>
  <c r="J15" i="53"/>
  <c r="J32" i="53" s="1"/>
  <c r="F15" i="53"/>
  <c r="F32" i="53" s="1"/>
  <c r="I14" i="53"/>
  <c r="I31" i="53" s="1"/>
  <c r="E14" i="53"/>
  <c r="E31" i="53" s="1"/>
  <c r="H13" i="53"/>
  <c r="H30" i="53" s="1"/>
  <c r="D13" i="53"/>
  <c r="D30" i="53" s="1"/>
  <c r="D41" i="53"/>
  <c r="F41" i="53" s="1"/>
  <c r="D5" i="53"/>
  <c r="D22" i="53" s="1"/>
  <c r="J5" i="53"/>
  <c r="J22" i="53" s="1"/>
  <c r="H6" i="53"/>
  <c r="H23" i="53" s="1"/>
  <c r="F7" i="53"/>
  <c r="F24" i="53" s="1"/>
  <c r="E8" i="53"/>
  <c r="E25" i="53" s="1"/>
  <c r="J8" i="53"/>
  <c r="J25" i="53" s="1"/>
  <c r="H9" i="53"/>
  <c r="H26" i="53" s="1"/>
  <c r="G10" i="53"/>
  <c r="G27" i="53" s="1"/>
  <c r="E11" i="53"/>
  <c r="E28" i="53" s="1"/>
  <c r="J11" i="53"/>
  <c r="J28" i="53" s="1"/>
  <c r="I12" i="53"/>
  <c r="I29" i="53" s="1"/>
  <c r="J13" i="53"/>
  <c r="J30" i="53" s="1"/>
  <c r="D15" i="53"/>
  <c r="D32" i="53" s="1"/>
  <c r="E16" i="53"/>
  <c r="E33" i="53" s="1"/>
  <c r="F17" i="53"/>
  <c r="F34" i="53" s="1"/>
  <c r="C35" i="53"/>
  <c r="C42" i="52"/>
  <c r="C41" i="52"/>
  <c r="C40" i="52"/>
  <c r="C39" i="52"/>
  <c r="C34" i="52"/>
  <c r="A34" i="52"/>
  <c r="C33" i="52"/>
  <c r="A33" i="52"/>
  <c r="C32" i="52"/>
  <c r="A32" i="52"/>
  <c r="C31" i="52"/>
  <c r="A31" i="52"/>
  <c r="C30" i="52"/>
  <c r="A30" i="52"/>
  <c r="C29" i="52"/>
  <c r="A29" i="52"/>
  <c r="C28" i="52"/>
  <c r="A28" i="52"/>
  <c r="C27" i="52"/>
  <c r="A27" i="52"/>
  <c r="C26" i="52"/>
  <c r="A26" i="52"/>
  <c r="C25" i="52"/>
  <c r="A25" i="52"/>
  <c r="C24" i="52"/>
  <c r="A24" i="52"/>
  <c r="C23" i="52"/>
  <c r="A23" i="52"/>
  <c r="C22" i="52"/>
  <c r="A22" i="52"/>
  <c r="J21" i="52"/>
  <c r="I21" i="52"/>
  <c r="H21" i="52"/>
  <c r="G21" i="52"/>
  <c r="F21" i="52"/>
  <c r="E21" i="52"/>
  <c r="D21" i="52"/>
  <c r="C18" i="52"/>
  <c r="D41" i="52" s="1"/>
  <c r="F41" i="52" s="1"/>
  <c r="I17" i="52"/>
  <c r="I34" i="52" s="1"/>
  <c r="H17" i="52"/>
  <c r="H34" i="52" s="1"/>
  <c r="G17" i="52"/>
  <c r="G34" i="52" s="1"/>
  <c r="E17" i="52"/>
  <c r="E34" i="52" s="1"/>
  <c r="D17" i="52"/>
  <c r="D34" i="52" s="1"/>
  <c r="J16" i="52"/>
  <c r="J33" i="52" s="1"/>
  <c r="I16" i="52"/>
  <c r="I33" i="52" s="1"/>
  <c r="H16" i="52"/>
  <c r="H33" i="52" s="1"/>
  <c r="G16" i="52"/>
  <c r="G33" i="52" s="1"/>
  <c r="F16" i="52"/>
  <c r="F33" i="52" s="1"/>
  <c r="E16" i="52"/>
  <c r="E33" i="52" s="1"/>
  <c r="D16" i="52"/>
  <c r="D33" i="52" s="1"/>
  <c r="J15" i="52"/>
  <c r="J32" i="52" s="1"/>
  <c r="I15" i="52"/>
  <c r="I32" i="52" s="1"/>
  <c r="H15" i="52"/>
  <c r="H32" i="52" s="1"/>
  <c r="G15" i="52"/>
  <c r="G32" i="52" s="1"/>
  <c r="F15" i="52"/>
  <c r="F32" i="52" s="1"/>
  <c r="E15" i="52"/>
  <c r="E32" i="52" s="1"/>
  <c r="D15" i="52"/>
  <c r="D32" i="52" s="1"/>
  <c r="J14" i="52"/>
  <c r="J31" i="52" s="1"/>
  <c r="I14" i="52"/>
  <c r="I31" i="52" s="1"/>
  <c r="H14" i="52"/>
  <c r="H31" i="52" s="1"/>
  <c r="G14" i="52"/>
  <c r="G31" i="52" s="1"/>
  <c r="F14" i="52"/>
  <c r="F31" i="52" s="1"/>
  <c r="E14" i="52"/>
  <c r="E31" i="52" s="1"/>
  <c r="D14" i="52"/>
  <c r="D31" i="52" s="1"/>
  <c r="J13" i="52"/>
  <c r="J30" i="52" s="1"/>
  <c r="I13" i="52"/>
  <c r="I30" i="52" s="1"/>
  <c r="H13" i="52"/>
  <c r="H30" i="52" s="1"/>
  <c r="G13" i="52"/>
  <c r="G30" i="52" s="1"/>
  <c r="F13" i="52"/>
  <c r="F30" i="52" s="1"/>
  <c r="E13" i="52"/>
  <c r="E30" i="52" s="1"/>
  <c r="D13" i="52"/>
  <c r="D30" i="52" s="1"/>
  <c r="J12" i="52"/>
  <c r="J29" i="52" s="1"/>
  <c r="I12" i="52"/>
  <c r="I29" i="52" s="1"/>
  <c r="H12" i="52"/>
  <c r="H29" i="52" s="1"/>
  <c r="G12" i="52"/>
  <c r="G29" i="52" s="1"/>
  <c r="F12" i="52"/>
  <c r="F29" i="52" s="1"/>
  <c r="E12" i="52"/>
  <c r="E29" i="52" s="1"/>
  <c r="D12" i="52"/>
  <c r="D29" i="52" s="1"/>
  <c r="J11" i="52"/>
  <c r="J28" i="52" s="1"/>
  <c r="I11" i="52"/>
  <c r="I28" i="52" s="1"/>
  <c r="H11" i="52"/>
  <c r="H28" i="52" s="1"/>
  <c r="G11" i="52"/>
  <c r="G28" i="52" s="1"/>
  <c r="F11" i="52"/>
  <c r="F28" i="52" s="1"/>
  <c r="E11" i="52"/>
  <c r="E28" i="52" s="1"/>
  <c r="D11" i="52"/>
  <c r="D28" i="52" s="1"/>
  <c r="J10" i="52"/>
  <c r="J27" i="52" s="1"/>
  <c r="I10" i="52"/>
  <c r="I27" i="52" s="1"/>
  <c r="H10" i="52"/>
  <c r="H27" i="52" s="1"/>
  <c r="G10" i="52"/>
  <c r="G27" i="52" s="1"/>
  <c r="F10" i="52"/>
  <c r="F27" i="52" s="1"/>
  <c r="E10" i="52"/>
  <c r="E27" i="52" s="1"/>
  <c r="D10" i="52"/>
  <c r="D27" i="52" s="1"/>
  <c r="J9" i="52"/>
  <c r="J26" i="52" s="1"/>
  <c r="I9" i="52"/>
  <c r="I26" i="52" s="1"/>
  <c r="H9" i="52"/>
  <c r="H26" i="52" s="1"/>
  <c r="G9" i="52"/>
  <c r="G26" i="52" s="1"/>
  <c r="F9" i="52"/>
  <c r="F26" i="52" s="1"/>
  <c r="E9" i="52"/>
  <c r="E26" i="52" s="1"/>
  <c r="D9" i="52"/>
  <c r="D26" i="52" s="1"/>
  <c r="J8" i="52"/>
  <c r="J25" i="52" s="1"/>
  <c r="I8" i="52"/>
  <c r="I25" i="52" s="1"/>
  <c r="H8" i="52"/>
  <c r="H25" i="52" s="1"/>
  <c r="G8" i="52"/>
  <c r="G25" i="52" s="1"/>
  <c r="F8" i="52"/>
  <c r="F25" i="52" s="1"/>
  <c r="E8" i="52"/>
  <c r="E25" i="52" s="1"/>
  <c r="D8" i="52"/>
  <c r="D25" i="52" s="1"/>
  <c r="J7" i="52"/>
  <c r="J24" i="52" s="1"/>
  <c r="I7" i="52"/>
  <c r="I24" i="52" s="1"/>
  <c r="H7" i="52"/>
  <c r="H24" i="52" s="1"/>
  <c r="G7" i="52"/>
  <c r="G24" i="52" s="1"/>
  <c r="F7" i="52"/>
  <c r="F24" i="52" s="1"/>
  <c r="E7" i="52"/>
  <c r="E24" i="52" s="1"/>
  <c r="D7" i="52"/>
  <c r="D24" i="52" s="1"/>
  <c r="J6" i="52"/>
  <c r="J23" i="52" s="1"/>
  <c r="I6" i="52"/>
  <c r="I23" i="52" s="1"/>
  <c r="H6" i="52"/>
  <c r="H23" i="52" s="1"/>
  <c r="G6" i="52"/>
  <c r="G23" i="52" s="1"/>
  <c r="F6" i="52"/>
  <c r="F23" i="52" s="1"/>
  <c r="E6" i="52"/>
  <c r="E23" i="52" s="1"/>
  <c r="D6" i="52"/>
  <c r="D23" i="52" s="1"/>
  <c r="J5" i="52"/>
  <c r="J22" i="52" s="1"/>
  <c r="I5" i="52"/>
  <c r="I22" i="52" s="1"/>
  <c r="H5" i="52"/>
  <c r="H22" i="52" s="1"/>
  <c r="G5" i="52"/>
  <c r="G22" i="52" s="1"/>
  <c r="F5" i="52"/>
  <c r="F22" i="52" s="1"/>
  <c r="E5" i="52"/>
  <c r="E22" i="52" s="1"/>
  <c r="D5" i="52"/>
  <c r="D22" i="52" s="1"/>
  <c r="J35" i="54" l="1"/>
  <c r="I35" i="54"/>
  <c r="E35" i="54"/>
  <c r="G35" i="54"/>
  <c r="F35" i="54"/>
  <c r="H35" i="54"/>
  <c r="D35" i="54"/>
  <c r="F35" i="53"/>
  <c r="G35" i="53"/>
  <c r="H35" i="53"/>
  <c r="J35" i="53"/>
  <c r="D35" i="53"/>
  <c r="E35" i="53"/>
  <c r="I35" i="53"/>
  <c r="C35" i="52"/>
  <c r="I35" i="52"/>
  <c r="F17" i="52"/>
  <c r="F34" i="52" s="1"/>
  <c r="F35" i="52" s="1"/>
  <c r="J17" i="52"/>
  <c r="J34" i="52" s="1"/>
  <c r="J35" i="52" s="1"/>
  <c r="F39" i="52"/>
  <c r="D42" i="52"/>
  <c r="F42" i="52" s="1"/>
  <c r="D35" i="52"/>
  <c r="H35" i="52"/>
  <c r="D40" i="52"/>
  <c r="F40" i="52" s="1"/>
  <c r="E35" i="52"/>
  <c r="G35" i="52"/>
  <c r="D41" i="51"/>
  <c r="D40" i="51"/>
  <c r="D39" i="51"/>
  <c r="C42" i="51"/>
  <c r="C41" i="51"/>
  <c r="C40" i="51"/>
  <c r="C39" i="51"/>
  <c r="C34" i="51"/>
  <c r="A34" i="51"/>
  <c r="C33" i="51"/>
  <c r="A33" i="51"/>
  <c r="C32" i="51"/>
  <c r="A32" i="51"/>
  <c r="C31" i="51"/>
  <c r="A31" i="51"/>
  <c r="C30" i="51"/>
  <c r="A30" i="51"/>
  <c r="C29" i="51"/>
  <c r="A29" i="51"/>
  <c r="C28" i="51"/>
  <c r="A28" i="51"/>
  <c r="C27" i="51"/>
  <c r="A27" i="51"/>
  <c r="C26" i="51"/>
  <c r="A26" i="51"/>
  <c r="C25" i="51"/>
  <c r="A25" i="51"/>
  <c r="C24" i="51"/>
  <c r="A24" i="51"/>
  <c r="C23" i="51"/>
  <c r="A23" i="51"/>
  <c r="C22" i="51"/>
  <c r="A22" i="51"/>
  <c r="J21" i="51"/>
  <c r="I21" i="51"/>
  <c r="H21" i="51"/>
  <c r="G21" i="51"/>
  <c r="F21" i="51"/>
  <c r="E21" i="51"/>
  <c r="D21" i="51"/>
  <c r="C18" i="51"/>
  <c r="F41" i="51" s="1"/>
  <c r="I16" i="51"/>
  <c r="I33" i="51" s="1"/>
  <c r="E15" i="51"/>
  <c r="E32" i="51" s="1"/>
  <c r="E12" i="51"/>
  <c r="E29" i="51" s="1"/>
  <c r="H10" i="51"/>
  <c r="H27" i="51" s="1"/>
  <c r="J8" i="51"/>
  <c r="J25" i="51" s="1"/>
  <c r="D6" i="51"/>
  <c r="D23" i="51" s="1"/>
  <c r="H7" i="51" l="1"/>
  <c r="H24" i="51" s="1"/>
  <c r="G13" i="51"/>
  <c r="G30" i="51" s="1"/>
  <c r="G6" i="51"/>
  <c r="G23" i="51" s="1"/>
  <c r="I7" i="51"/>
  <c r="I24" i="51" s="1"/>
  <c r="G9" i="51"/>
  <c r="G26" i="51" s="1"/>
  <c r="D11" i="51"/>
  <c r="D28" i="51" s="1"/>
  <c r="F12" i="51"/>
  <c r="F29" i="51" s="1"/>
  <c r="D14" i="51"/>
  <c r="D31" i="51" s="1"/>
  <c r="H15" i="51"/>
  <c r="H32" i="51" s="1"/>
  <c r="J16" i="51"/>
  <c r="J33" i="51" s="1"/>
  <c r="F5" i="51"/>
  <c r="F22" i="51" s="1"/>
  <c r="H6" i="51"/>
  <c r="H23" i="51" s="1"/>
  <c r="F8" i="51"/>
  <c r="F25" i="51" s="1"/>
  <c r="J9" i="51"/>
  <c r="J26" i="51" s="1"/>
  <c r="E11" i="51"/>
  <c r="E28" i="51" s="1"/>
  <c r="J12" i="51"/>
  <c r="J29" i="51" s="1"/>
  <c r="G14" i="51"/>
  <c r="G31" i="51" s="1"/>
  <c r="I15" i="51"/>
  <c r="I32" i="51" s="1"/>
  <c r="G17" i="51"/>
  <c r="G34" i="51" s="1"/>
  <c r="G5" i="51"/>
  <c r="G22" i="51" s="1"/>
  <c r="E7" i="51"/>
  <c r="E24" i="51" s="1"/>
  <c r="I8" i="51"/>
  <c r="I25" i="51" s="1"/>
  <c r="D10" i="51"/>
  <c r="D27" i="51" s="1"/>
  <c r="I11" i="51"/>
  <c r="I28" i="51" s="1"/>
  <c r="F13" i="51"/>
  <c r="F30" i="51" s="1"/>
  <c r="H14" i="51"/>
  <c r="H31" i="51" s="1"/>
  <c r="F16" i="51"/>
  <c r="F33" i="51" s="1"/>
  <c r="J17" i="51"/>
  <c r="J34" i="51" s="1"/>
  <c r="J5" i="51"/>
  <c r="J22" i="51" s="1"/>
  <c r="D7" i="51"/>
  <c r="D24" i="51" s="1"/>
  <c r="E8" i="51"/>
  <c r="E25" i="51" s="1"/>
  <c r="F9" i="51"/>
  <c r="F26" i="51" s="1"/>
  <c r="G10" i="51"/>
  <c r="G27" i="51" s="1"/>
  <c r="H11" i="51"/>
  <c r="H28" i="51" s="1"/>
  <c r="I12" i="51"/>
  <c r="I29" i="51" s="1"/>
  <c r="J13" i="51"/>
  <c r="J30" i="51" s="1"/>
  <c r="D15" i="51"/>
  <c r="D32" i="51" s="1"/>
  <c r="E16" i="51"/>
  <c r="E33" i="51" s="1"/>
  <c r="F17" i="51"/>
  <c r="F34" i="51" s="1"/>
  <c r="F40" i="51"/>
  <c r="D42" i="51"/>
  <c r="F42" i="51" s="1"/>
  <c r="D5" i="51"/>
  <c r="D22" i="51" s="1"/>
  <c r="H5" i="51"/>
  <c r="H22" i="51" s="1"/>
  <c r="E6" i="51"/>
  <c r="E23" i="51" s="1"/>
  <c r="I6" i="51"/>
  <c r="I23" i="51" s="1"/>
  <c r="F7" i="51"/>
  <c r="F24" i="51" s="1"/>
  <c r="J7" i="51"/>
  <c r="J24" i="51" s="1"/>
  <c r="G8" i="51"/>
  <c r="G25" i="51" s="1"/>
  <c r="D9" i="51"/>
  <c r="D26" i="51" s="1"/>
  <c r="H9" i="51"/>
  <c r="H26" i="51" s="1"/>
  <c r="E10" i="51"/>
  <c r="E27" i="51" s="1"/>
  <c r="I10" i="51"/>
  <c r="I27" i="51" s="1"/>
  <c r="F11" i="51"/>
  <c r="F28" i="51" s="1"/>
  <c r="J11" i="51"/>
  <c r="J28" i="51" s="1"/>
  <c r="G12" i="51"/>
  <c r="G29" i="51" s="1"/>
  <c r="D13" i="51"/>
  <c r="D30" i="51" s="1"/>
  <c r="H13" i="51"/>
  <c r="H30" i="51" s="1"/>
  <c r="E14" i="51"/>
  <c r="E31" i="51" s="1"/>
  <c r="I14" i="51"/>
  <c r="I31" i="51" s="1"/>
  <c r="F15" i="51"/>
  <c r="F32" i="51" s="1"/>
  <c r="J15" i="51"/>
  <c r="J32" i="51" s="1"/>
  <c r="G16" i="51"/>
  <c r="G33" i="51" s="1"/>
  <c r="D17" i="51"/>
  <c r="D34" i="51" s="1"/>
  <c r="H17" i="51"/>
  <c r="H34" i="51" s="1"/>
  <c r="C35" i="51"/>
  <c r="E5" i="51"/>
  <c r="E22" i="51" s="1"/>
  <c r="I5" i="51"/>
  <c r="I22" i="51" s="1"/>
  <c r="F6" i="51"/>
  <c r="F23" i="51" s="1"/>
  <c r="J6" i="51"/>
  <c r="J23" i="51" s="1"/>
  <c r="G7" i="51"/>
  <c r="G24" i="51" s="1"/>
  <c r="D8" i="51"/>
  <c r="D25" i="51" s="1"/>
  <c r="H8" i="51"/>
  <c r="H25" i="51" s="1"/>
  <c r="E9" i="51"/>
  <c r="E26" i="51" s="1"/>
  <c r="I9" i="51"/>
  <c r="I26" i="51" s="1"/>
  <c r="F10" i="51"/>
  <c r="F27" i="51" s="1"/>
  <c r="J10" i="51"/>
  <c r="J27" i="51" s="1"/>
  <c r="G11" i="51"/>
  <c r="G28" i="51" s="1"/>
  <c r="D12" i="51"/>
  <c r="D29" i="51" s="1"/>
  <c r="H12" i="51"/>
  <c r="H29" i="51" s="1"/>
  <c r="E13" i="51"/>
  <c r="E30" i="51" s="1"/>
  <c r="I13" i="51"/>
  <c r="I30" i="51" s="1"/>
  <c r="F14" i="51"/>
  <c r="F31" i="51" s="1"/>
  <c r="J14" i="51"/>
  <c r="J31" i="51" s="1"/>
  <c r="G15" i="51"/>
  <c r="G32" i="51" s="1"/>
  <c r="D16" i="51"/>
  <c r="D33" i="51" s="1"/>
  <c r="H16" i="51"/>
  <c r="H33" i="51" s="1"/>
  <c r="E17" i="51"/>
  <c r="E34" i="51" s="1"/>
  <c r="I17" i="51"/>
  <c r="I34" i="51" s="1"/>
  <c r="F39" i="51"/>
  <c r="D48" i="47"/>
  <c r="D47" i="47"/>
  <c r="E35" i="51" l="1"/>
  <c r="J35" i="51"/>
  <c r="F35" i="51"/>
  <c r="G35" i="51"/>
  <c r="D35" i="51"/>
  <c r="I35" i="51"/>
  <c r="H35" i="51"/>
  <c r="C42" i="50"/>
  <c r="C43" i="50"/>
  <c r="H21" i="50"/>
  <c r="I21" i="50"/>
  <c r="J21" i="50"/>
  <c r="K21" i="50"/>
  <c r="L21" i="50"/>
  <c r="M21" i="50"/>
  <c r="J34" i="50"/>
  <c r="I34" i="50"/>
  <c r="H34" i="50"/>
  <c r="I31" i="50"/>
  <c r="H30" i="50"/>
  <c r="J29" i="50"/>
  <c r="I29" i="50"/>
  <c r="I27" i="50"/>
  <c r="J26" i="50"/>
  <c r="H26" i="50"/>
  <c r="H6" i="50"/>
  <c r="H23" i="50" s="1"/>
  <c r="I6" i="50"/>
  <c r="I23" i="50" s="1"/>
  <c r="J6" i="50"/>
  <c r="J23" i="50" s="1"/>
  <c r="H7" i="50"/>
  <c r="H24" i="50" s="1"/>
  <c r="I7" i="50"/>
  <c r="I24" i="50" s="1"/>
  <c r="J7" i="50"/>
  <c r="J24" i="50" s="1"/>
  <c r="H8" i="50"/>
  <c r="H25" i="50" s="1"/>
  <c r="I8" i="50"/>
  <c r="I25" i="50" s="1"/>
  <c r="J8" i="50"/>
  <c r="J25" i="50" s="1"/>
  <c r="H9" i="50"/>
  <c r="I9" i="50"/>
  <c r="I26" i="50" s="1"/>
  <c r="J9" i="50"/>
  <c r="H10" i="50"/>
  <c r="H27" i="50" s="1"/>
  <c r="I10" i="50"/>
  <c r="J10" i="50"/>
  <c r="J27" i="50" s="1"/>
  <c r="H11" i="50"/>
  <c r="H28" i="50" s="1"/>
  <c r="I11" i="50"/>
  <c r="I28" i="50" s="1"/>
  <c r="J11" i="50"/>
  <c r="J28" i="50" s="1"/>
  <c r="H12" i="50"/>
  <c r="H29" i="50" s="1"/>
  <c r="I12" i="50"/>
  <c r="J12" i="50"/>
  <c r="H13" i="50"/>
  <c r="I13" i="50"/>
  <c r="I30" i="50" s="1"/>
  <c r="J13" i="50"/>
  <c r="J30" i="50" s="1"/>
  <c r="H14" i="50"/>
  <c r="H31" i="50" s="1"/>
  <c r="I14" i="50"/>
  <c r="J14" i="50"/>
  <c r="J31" i="50" s="1"/>
  <c r="H15" i="50"/>
  <c r="H32" i="50" s="1"/>
  <c r="I15" i="50"/>
  <c r="I32" i="50" s="1"/>
  <c r="J15" i="50"/>
  <c r="J32" i="50" s="1"/>
  <c r="H16" i="50"/>
  <c r="H33" i="50" s="1"/>
  <c r="I16" i="50"/>
  <c r="I33" i="50" s="1"/>
  <c r="J16" i="50"/>
  <c r="J33" i="50" s="1"/>
  <c r="H17" i="50"/>
  <c r="I17" i="50"/>
  <c r="J17" i="50"/>
  <c r="J5" i="50"/>
  <c r="J22" i="50" s="1"/>
  <c r="C41" i="50"/>
  <c r="C40" i="50"/>
  <c r="C39" i="50"/>
  <c r="C34" i="50"/>
  <c r="A34" i="50"/>
  <c r="C33" i="50"/>
  <c r="A33" i="50"/>
  <c r="C32" i="50"/>
  <c r="A32" i="50"/>
  <c r="C31" i="50"/>
  <c r="A31" i="50"/>
  <c r="C30" i="50"/>
  <c r="A30" i="50"/>
  <c r="C29" i="50"/>
  <c r="A29" i="50"/>
  <c r="C28" i="50"/>
  <c r="A28" i="50"/>
  <c r="C27" i="50"/>
  <c r="A27" i="50"/>
  <c r="C26" i="50"/>
  <c r="A26" i="50"/>
  <c r="C25" i="50"/>
  <c r="A25" i="50"/>
  <c r="C24" i="50"/>
  <c r="A24" i="50"/>
  <c r="C23" i="50"/>
  <c r="A23" i="50"/>
  <c r="C22" i="50"/>
  <c r="A22" i="50"/>
  <c r="G21" i="50"/>
  <c r="F21" i="50"/>
  <c r="E21" i="50"/>
  <c r="D21" i="50"/>
  <c r="C18" i="50"/>
  <c r="M16" i="50" s="1"/>
  <c r="M33" i="50" s="1"/>
  <c r="C42" i="49"/>
  <c r="C41" i="49"/>
  <c r="C40" i="49"/>
  <c r="C39" i="49"/>
  <c r="C34" i="49"/>
  <c r="A34" i="49"/>
  <c r="C33" i="49"/>
  <c r="A33" i="49"/>
  <c r="C32" i="49"/>
  <c r="A32" i="49"/>
  <c r="C31" i="49"/>
  <c r="A31" i="49"/>
  <c r="C30" i="49"/>
  <c r="A30" i="49"/>
  <c r="C29" i="49"/>
  <c r="A29" i="49"/>
  <c r="C28" i="49"/>
  <c r="A28" i="49"/>
  <c r="C27" i="49"/>
  <c r="A27" i="49"/>
  <c r="C26" i="49"/>
  <c r="A26" i="49"/>
  <c r="C25" i="49"/>
  <c r="A25" i="49"/>
  <c r="C24" i="49"/>
  <c r="A24" i="49"/>
  <c r="C23" i="49"/>
  <c r="A23" i="49"/>
  <c r="C22" i="49"/>
  <c r="A22" i="49"/>
  <c r="J21" i="49"/>
  <c r="I21" i="49"/>
  <c r="H21" i="49"/>
  <c r="G21" i="49"/>
  <c r="F21" i="49"/>
  <c r="E21" i="49"/>
  <c r="D21" i="49"/>
  <c r="C18" i="49"/>
  <c r="D42" i="49" s="1"/>
  <c r="F42" i="49" s="1"/>
  <c r="J35" i="50" l="1"/>
  <c r="H5" i="50"/>
  <c r="H22" i="50" s="1"/>
  <c r="H35" i="50" s="1"/>
  <c r="K6" i="50"/>
  <c r="K23" i="50" s="1"/>
  <c r="I5" i="50"/>
  <c r="I22" i="50" s="1"/>
  <c r="I35" i="50" s="1"/>
  <c r="E11" i="50"/>
  <c r="E28" i="50" s="1"/>
  <c r="G8" i="50"/>
  <c r="G25" i="50" s="1"/>
  <c r="E14" i="50"/>
  <c r="E31" i="50" s="1"/>
  <c r="G5" i="50"/>
  <c r="G22" i="50" s="1"/>
  <c r="D10" i="50"/>
  <c r="D27" i="50" s="1"/>
  <c r="F16" i="50"/>
  <c r="F33" i="50" s="1"/>
  <c r="G7" i="50"/>
  <c r="G24" i="50" s="1"/>
  <c r="G12" i="50"/>
  <c r="G29" i="50" s="1"/>
  <c r="L5" i="50"/>
  <c r="L22" i="50" s="1"/>
  <c r="L6" i="50"/>
  <c r="L23" i="50" s="1"/>
  <c r="L7" i="50"/>
  <c r="L24" i="50" s="1"/>
  <c r="M8" i="50"/>
  <c r="M25" i="50" s="1"/>
  <c r="E10" i="50"/>
  <c r="E27" i="50" s="1"/>
  <c r="G11" i="50"/>
  <c r="G28" i="50" s="1"/>
  <c r="D13" i="50"/>
  <c r="D30" i="50" s="1"/>
  <c r="K14" i="50"/>
  <c r="K31" i="50" s="1"/>
  <c r="G16" i="50"/>
  <c r="G33" i="50" s="1"/>
  <c r="D5" i="50"/>
  <c r="D22" i="50" s="1"/>
  <c r="D6" i="50"/>
  <c r="D23" i="50" s="1"/>
  <c r="M6" i="50"/>
  <c r="M23" i="50" s="1"/>
  <c r="D8" i="50"/>
  <c r="D25" i="50" s="1"/>
  <c r="E9" i="50"/>
  <c r="E26" i="50" s="1"/>
  <c r="F10" i="50"/>
  <c r="F27" i="50" s="1"/>
  <c r="M11" i="50"/>
  <c r="M28" i="50" s="1"/>
  <c r="E13" i="50"/>
  <c r="E30" i="50" s="1"/>
  <c r="E15" i="50"/>
  <c r="E32" i="50" s="1"/>
  <c r="G17" i="50"/>
  <c r="G34" i="50" s="1"/>
  <c r="E5" i="50"/>
  <c r="E22" i="50" s="1"/>
  <c r="E6" i="50"/>
  <c r="E23" i="50" s="1"/>
  <c r="F7" i="50"/>
  <c r="F24" i="50" s="1"/>
  <c r="F8" i="50"/>
  <c r="F25" i="50" s="1"/>
  <c r="G9" i="50"/>
  <c r="G26" i="50" s="1"/>
  <c r="M10" i="50"/>
  <c r="M27" i="50" s="1"/>
  <c r="F12" i="50"/>
  <c r="F29" i="50" s="1"/>
  <c r="G13" i="50"/>
  <c r="G30" i="50" s="1"/>
  <c r="L15" i="50"/>
  <c r="L32" i="50" s="1"/>
  <c r="K17" i="50"/>
  <c r="K34" i="50" s="1"/>
  <c r="C35" i="50"/>
  <c r="D41" i="50"/>
  <c r="F41" i="50" s="1"/>
  <c r="K5" i="50"/>
  <c r="K22" i="50" s="1"/>
  <c r="F6" i="50"/>
  <c r="F23" i="50" s="1"/>
  <c r="E7" i="50"/>
  <c r="E24" i="50" s="1"/>
  <c r="M7" i="50"/>
  <c r="M24" i="50" s="1"/>
  <c r="K8" i="50"/>
  <c r="K25" i="50" s="1"/>
  <c r="K9" i="50"/>
  <c r="K26" i="50" s="1"/>
  <c r="L10" i="50"/>
  <c r="L27" i="50" s="1"/>
  <c r="L11" i="50"/>
  <c r="L28" i="50" s="1"/>
  <c r="K12" i="50"/>
  <c r="K29" i="50" s="1"/>
  <c r="D14" i="50"/>
  <c r="D31" i="50" s="1"/>
  <c r="F15" i="50"/>
  <c r="F32" i="50" s="1"/>
  <c r="D42" i="50"/>
  <c r="F42" i="50" s="1"/>
  <c r="M17" i="50"/>
  <c r="M34" i="50" s="1"/>
  <c r="F17" i="50"/>
  <c r="F34" i="50" s="1"/>
  <c r="L16" i="50"/>
  <c r="L33" i="50" s="1"/>
  <c r="E16" i="50"/>
  <c r="E33" i="50" s="1"/>
  <c r="K15" i="50"/>
  <c r="K32" i="50" s="1"/>
  <c r="D15" i="50"/>
  <c r="D32" i="50" s="1"/>
  <c r="G14" i="50"/>
  <c r="G31" i="50" s="1"/>
  <c r="M13" i="50"/>
  <c r="M30" i="50" s="1"/>
  <c r="F13" i="50"/>
  <c r="F30" i="50" s="1"/>
  <c r="L12" i="50"/>
  <c r="L29" i="50" s="1"/>
  <c r="E12" i="50"/>
  <c r="E29" i="50" s="1"/>
  <c r="K11" i="50"/>
  <c r="K28" i="50" s="1"/>
  <c r="D11" i="50"/>
  <c r="D28" i="50" s="1"/>
  <c r="G10" i="50"/>
  <c r="G27" i="50" s="1"/>
  <c r="M9" i="50"/>
  <c r="M26" i="50" s="1"/>
  <c r="F9" i="50"/>
  <c r="F26" i="50" s="1"/>
  <c r="L8" i="50"/>
  <c r="L25" i="50" s="1"/>
  <c r="E8" i="50"/>
  <c r="E25" i="50" s="1"/>
  <c r="K7" i="50"/>
  <c r="K24" i="50" s="1"/>
  <c r="D7" i="50"/>
  <c r="D24" i="50" s="1"/>
  <c r="G6" i="50"/>
  <c r="G23" i="50" s="1"/>
  <c r="M5" i="50"/>
  <c r="M22" i="50" s="1"/>
  <c r="F5" i="50"/>
  <c r="F22" i="50" s="1"/>
  <c r="D39" i="50"/>
  <c r="F39" i="50" s="1"/>
  <c r="L17" i="50"/>
  <c r="L34" i="50" s="1"/>
  <c r="E17" i="50"/>
  <c r="E34" i="50" s="1"/>
  <c r="K16" i="50"/>
  <c r="K33" i="50" s="1"/>
  <c r="D16" i="50"/>
  <c r="D33" i="50" s="1"/>
  <c r="G15" i="50"/>
  <c r="G32" i="50" s="1"/>
  <c r="M14" i="50"/>
  <c r="M31" i="50" s="1"/>
  <c r="F14" i="50"/>
  <c r="F31" i="50" s="1"/>
  <c r="L13" i="50"/>
  <c r="L30" i="50" s="1"/>
  <c r="D9" i="50"/>
  <c r="D26" i="50" s="1"/>
  <c r="L9" i="50"/>
  <c r="L26" i="50" s="1"/>
  <c r="K10" i="50"/>
  <c r="K27" i="50" s="1"/>
  <c r="F11" i="50"/>
  <c r="F28" i="50" s="1"/>
  <c r="D12" i="50"/>
  <c r="D29" i="50" s="1"/>
  <c r="M12" i="50"/>
  <c r="M29" i="50" s="1"/>
  <c r="K13" i="50"/>
  <c r="K30" i="50" s="1"/>
  <c r="L14" i="50"/>
  <c r="L31" i="50" s="1"/>
  <c r="M15" i="50"/>
  <c r="M32" i="50" s="1"/>
  <c r="D17" i="50"/>
  <c r="D34" i="50" s="1"/>
  <c r="D40" i="50"/>
  <c r="F40" i="50" s="1"/>
  <c r="F5" i="49"/>
  <c r="F22" i="49" s="1"/>
  <c r="E7" i="49"/>
  <c r="E24" i="49" s="1"/>
  <c r="F8" i="49"/>
  <c r="F25" i="49" s="1"/>
  <c r="E6" i="49"/>
  <c r="E23" i="49" s="1"/>
  <c r="G6" i="49"/>
  <c r="G23" i="49" s="1"/>
  <c r="G8" i="49"/>
  <c r="G25" i="49" s="1"/>
  <c r="H10" i="49"/>
  <c r="H27" i="49" s="1"/>
  <c r="D14" i="49"/>
  <c r="D31" i="49" s="1"/>
  <c r="J16" i="49"/>
  <c r="J33" i="49" s="1"/>
  <c r="H5" i="49"/>
  <c r="H22" i="49" s="1"/>
  <c r="I6" i="49"/>
  <c r="I23" i="49" s="1"/>
  <c r="I7" i="49"/>
  <c r="I24" i="49" s="1"/>
  <c r="I8" i="49"/>
  <c r="I25" i="49" s="1"/>
  <c r="J9" i="49"/>
  <c r="J26" i="49" s="1"/>
  <c r="I10" i="49"/>
  <c r="I27" i="49" s="1"/>
  <c r="I11" i="49"/>
  <c r="I28" i="49" s="1"/>
  <c r="J12" i="49"/>
  <c r="J29" i="49" s="1"/>
  <c r="G14" i="49"/>
  <c r="G31" i="49" s="1"/>
  <c r="I15" i="49"/>
  <c r="I32" i="49" s="1"/>
  <c r="G17" i="49"/>
  <c r="G34" i="49" s="1"/>
  <c r="F9" i="49"/>
  <c r="F26" i="49" s="1"/>
  <c r="E10" i="49"/>
  <c r="E27" i="49" s="1"/>
  <c r="F11" i="49"/>
  <c r="F28" i="49" s="1"/>
  <c r="F12" i="49"/>
  <c r="F29" i="49" s="1"/>
  <c r="G13" i="49"/>
  <c r="G30" i="49" s="1"/>
  <c r="E15" i="49"/>
  <c r="E32" i="49" s="1"/>
  <c r="I16" i="49"/>
  <c r="I33" i="49" s="1"/>
  <c r="G5" i="49"/>
  <c r="G22" i="49" s="1"/>
  <c r="H7" i="49"/>
  <c r="H24" i="49" s="1"/>
  <c r="G9" i="49"/>
  <c r="G26" i="49" s="1"/>
  <c r="H11" i="49"/>
  <c r="H28" i="49" s="1"/>
  <c r="G12" i="49"/>
  <c r="G29" i="49" s="1"/>
  <c r="H15" i="49"/>
  <c r="H32" i="49" s="1"/>
  <c r="D6" i="49"/>
  <c r="D23" i="49" s="1"/>
  <c r="D7" i="49"/>
  <c r="D24" i="49" s="1"/>
  <c r="J7" i="49"/>
  <c r="J24" i="49" s="1"/>
  <c r="D9" i="49"/>
  <c r="D26" i="49" s="1"/>
  <c r="D10" i="49"/>
  <c r="D27" i="49" s="1"/>
  <c r="D11" i="49"/>
  <c r="D28" i="49" s="1"/>
  <c r="E12" i="49"/>
  <c r="E29" i="49" s="1"/>
  <c r="F13" i="49"/>
  <c r="F30" i="49" s="1"/>
  <c r="H14" i="49"/>
  <c r="H31" i="49" s="1"/>
  <c r="F16" i="49"/>
  <c r="F33" i="49" s="1"/>
  <c r="J17" i="49"/>
  <c r="J34" i="49" s="1"/>
  <c r="D39" i="49"/>
  <c r="F39" i="49" s="1"/>
  <c r="I17" i="49"/>
  <c r="I34" i="49" s="1"/>
  <c r="E17" i="49"/>
  <c r="E34" i="49" s="1"/>
  <c r="H16" i="49"/>
  <c r="H33" i="49" s="1"/>
  <c r="D16" i="49"/>
  <c r="D33" i="49" s="1"/>
  <c r="G15" i="49"/>
  <c r="G32" i="49" s="1"/>
  <c r="J14" i="49"/>
  <c r="J31" i="49" s="1"/>
  <c r="F14" i="49"/>
  <c r="F31" i="49" s="1"/>
  <c r="I13" i="49"/>
  <c r="I30" i="49" s="1"/>
  <c r="E13" i="49"/>
  <c r="E30" i="49" s="1"/>
  <c r="H12" i="49"/>
  <c r="H29" i="49" s="1"/>
  <c r="D12" i="49"/>
  <c r="D29" i="49" s="1"/>
  <c r="G11" i="49"/>
  <c r="G28" i="49" s="1"/>
  <c r="J10" i="49"/>
  <c r="J27" i="49" s="1"/>
  <c r="F10" i="49"/>
  <c r="F27" i="49" s="1"/>
  <c r="I9" i="49"/>
  <c r="I26" i="49" s="1"/>
  <c r="E9" i="49"/>
  <c r="E26" i="49" s="1"/>
  <c r="H8" i="49"/>
  <c r="H25" i="49" s="1"/>
  <c r="D8" i="49"/>
  <c r="D25" i="49" s="1"/>
  <c r="G7" i="49"/>
  <c r="G24" i="49" s="1"/>
  <c r="J6" i="49"/>
  <c r="J23" i="49" s="1"/>
  <c r="F6" i="49"/>
  <c r="F23" i="49" s="1"/>
  <c r="I5" i="49"/>
  <c r="I22" i="49" s="1"/>
  <c r="E5" i="49"/>
  <c r="E22" i="49" s="1"/>
  <c r="D40" i="49"/>
  <c r="F40" i="49" s="1"/>
  <c r="H17" i="49"/>
  <c r="H34" i="49" s="1"/>
  <c r="D17" i="49"/>
  <c r="D34" i="49" s="1"/>
  <c r="G16" i="49"/>
  <c r="G33" i="49" s="1"/>
  <c r="J15" i="49"/>
  <c r="J32" i="49" s="1"/>
  <c r="F15" i="49"/>
  <c r="F32" i="49" s="1"/>
  <c r="I14" i="49"/>
  <c r="I31" i="49" s="1"/>
  <c r="E14" i="49"/>
  <c r="E31" i="49" s="1"/>
  <c r="H13" i="49"/>
  <c r="H30" i="49" s="1"/>
  <c r="D13" i="49"/>
  <c r="D30" i="49" s="1"/>
  <c r="D41" i="49"/>
  <c r="F41" i="49" s="1"/>
  <c r="D5" i="49"/>
  <c r="D22" i="49" s="1"/>
  <c r="J5" i="49"/>
  <c r="J22" i="49" s="1"/>
  <c r="H6" i="49"/>
  <c r="H23" i="49" s="1"/>
  <c r="F7" i="49"/>
  <c r="F24" i="49" s="1"/>
  <c r="E8" i="49"/>
  <c r="E25" i="49" s="1"/>
  <c r="J8" i="49"/>
  <c r="J25" i="49" s="1"/>
  <c r="H9" i="49"/>
  <c r="H26" i="49" s="1"/>
  <c r="G10" i="49"/>
  <c r="G27" i="49" s="1"/>
  <c r="E11" i="49"/>
  <c r="E28" i="49" s="1"/>
  <c r="J11" i="49"/>
  <c r="J28" i="49" s="1"/>
  <c r="I12" i="49"/>
  <c r="I29" i="49" s="1"/>
  <c r="J13" i="49"/>
  <c r="J30" i="49" s="1"/>
  <c r="D15" i="49"/>
  <c r="D32" i="49" s="1"/>
  <c r="E16" i="49"/>
  <c r="E33" i="49" s="1"/>
  <c r="F17" i="49"/>
  <c r="F34" i="49" s="1"/>
  <c r="C35" i="49"/>
  <c r="C42" i="48"/>
  <c r="C41" i="48"/>
  <c r="C40" i="48"/>
  <c r="C39" i="48"/>
  <c r="C34" i="48"/>
  <c r="A34" i="48"/>
  <c r="C33" i="48"/>
  <c r="A33" i="48"/>
  <c r="C32" i="48"/>
  <c r="A32" i="48"/>
  <c r="C31" i="48"/>
  <c r="A31" i="48"/>
  <c r="C30" i="48"/>
  <c r="A30" i="48"/>
  <c r="C29" i="48"/>
  <c r="A29" i="48"/>
  <c r="C28" i="48"/>
  <c r="A28" i="48"/>
  <c r="C27" i="48"/>
  <c r="A27" i="48"/>
  <c r="C26" i="48"/>
  <c r="A26" i="48"/>
  <c r="C25" i="48"/>
  <c r="A25" i="48"/>
  <c r="C24" i="48"/>
  <c r="A24" i="48"/>
  <c r="C23" i="48"/>
  <c r="A23" i="48"/>
  <c r="C22" i="48"/>
  <c r="A22" i="48"/>
  <c r="J21" i="48"/>
  <c r="I21" i="48"/>
  <c r="H21" i="48"/>
  <c r="G21" i="48"/>
  <c r="F21" i="48"/>
  <c r="E21" i="48"/>
  <c r="D21" i="48"/>
  <c r="C18" i="48"/>
  <c r="D41" i="48" s="1"/>
  <c r="F41" i="48" s="1"/>
  <c r="F14" i="48"/>
  <c r="F31" i="48" s="1"/>
  <c r="G10" i="48"/>
  <c r="G27" i="48" s="1"/>
  <c r="J5" i="48"/>
  <c r="J22" i="48" s="1"/>
  <c r="G35" i="50" l="1"/>
  <c r="L35" i="50"/>
  <c r="D35" i="50"/>
  <c r="E35" i="50"/>
  <c r="K35" i="50"/>
  <c r="F35" i="50"/>
  <c r="M35" i="50"/>
  <c r="H35" i="49"/>
  <c r="F35" i="49"/>
  <c r="G35" i="49"/>
  <c r="I35" i="49"/>
  <c r="J35" i="49"/>
  <c r="D35" i="49"/>
  <c r="E35" i="49"/>
  <c r="G7" i="48"/>
  <c r="G24" i="48" s="1"/>
  <c r="E11" i="48"/>
  <c r="E28" i="48" s="1"/>
  <c r="D15" i="48"/>
  <c r="D32" i="48" s="1"/>
  <c r="E8" i="48"/>
  <c r="E25" i="48" s="1"/>
  <c r="D12" i="48"/>
  <c r="D29" i="48" s="1"/>
  <c r="H16" i="48"/>
  <c r="H33" i="48" s="1"/>
  <c r="H35" i="48" s="1"/>
  <c r="E5" i="48"/>
  <c r="E22" i="48" s="1"/>
  <c r="J8" i="48"/>
  <c r="J25" i="48" s="1"/>
  <c r="G13" i="48"/>
  <c r="G30" i="48" s="1"/>
  <c r="F17" i="48"/>
  <c r="F34" i="48" s="1"/>
  <c r="H6" i="48"/>
  <c r="H23" i="48" s="1"/>
  <c r="I9" i="48"/>
  <c r="I26" i="48" s="1"/>
  <c r="I12" i="48"/>
  <c r="I29" i="48" s="1"/>
  <c r="I15" i="48"/>
  <c r="I32" i="48" s="1"/>
  <c r="D40" i="48"/>
  <c r="F40" i="48" s="1"/>
  <c r="F5" i="48"/>
  <c r="F22" i="48" s="1"/>
  <c r="D6" i="48"/>
  <c r="D23" i="48" s="1"/>
  <c r="J6" i="48"/>
  <c r="J23" i="48" s="1"/>
  <c r="H7" i="48"/>
  <c r="H24" i="48" s="1"/>
  <c r="F8" i="48"/>
  <c r="F25" i="48" s="1"/>
  <c r="E9" i="48"/>
  <c r="E26" i="48" s="1"/>
  <c r="J9" i="48"/>
  <c r="J26" i="48" s="1"/>
  <c r="H10" i="48"/>
  <c r="H27" i="48" s="1"/>
  <c r="G11" i="48"/>
  <c r="G28" i="48" s="1"/>
  <c r="E12" i="48"/>
  <c r="E29" i="48" s="1"/>
  <c r="J12" i="48"/>
  <c r="J29" i="48" s="1"/>
  <c r="I13" i="48"/>
  <c r="I30" i="48" s="1"/>
  <c r="G14" i="48"/>
  <c r="G31" i="48" s="1"/>
  <c r="E15" i="48"/>
  <c r="E32" i="48" s="1"/>
  <c r="D16" i="48"/>
  <c r="D33" i="48" s="1"/>
  <c r="I16" i="48"/>
  <c r="I33" i="48" s="1"/>
  <c r="G17" i="48"/>
  <c r="G34" i="48" s="1"/>
  <c r="G5" i="48"/>
  <c r="G22" i="48" s="1"/>
  <c r="F6" i="48"/>
  <c r="F23" i="48" s="1"/>
  <c r="D7" i="48"/>
  <c r="D24" i="48" s="1"/>
  <c r="I7" i="48"/>
  <c r="I24" i="48" s="1"/>
  <c r="H8" i="48"/>
  <c r="H25" i="48" s="1"/>
  <c r="F9" i="48"/>
  <c r="F26" i="48" s="1"/>
  <c r="D10" i="48"/>
  <c r="D27" i="48" s="1"/>
  <c r="J10" i="48"/>
  <c r="J27" i="48" s="1"/>
  <c r="H11" i="48"/>
  <c r="H28" i="48" s="1"/>
  <c r="F12" i="48"/>
  <c r="F29" i="48" s="1"/>
  <c r="E13" i="48"/>
  <c r="E30" i="48" s="1"/>
  <c r="J13" i="48"/>
  <c r="J30" i="48" s="1"/>
  <c r="H14" i="48"/>
  <c r="H31" i="48" s="1"/>
  <c r="G15" i="48"/>
  <c r="G32" i="48" s="1"/>
  <c r="E16" i="48"/>
  <c r="E33" i="48" s="1"/>
  <c r="J16" i="48"/>
  <c r="J33" i="48" s="1"/>
  <c r="I17" i="48"/>
  <c r="I34" i="48" s="1"/>
  <c r="I5" i="48"/>
  <c r="I22" i="48" s="1"/>
  <c r="G6" i="48"/>
  <c r="G23" i="48" s="1"/>
  <c r="E7" i="48"/>
  <c r="E24" i="48" s="1"/>
  <c r="D8" i="48"/>
  <c r="D25" i="48" s="1"/>
  <c r="I8" i="48"/>
  <c r="I25" i="48" s="1"/>
  <c r="G9" i="48"/>
  <c r="G26" i="48" s="1"/>
  <c r="F10" i="48"/>
  <c r="F27" i="48" s="1"/>
  <c r="D11" i="48"/>
  <c r="D28" i="48" s="1"/>
  <c r="I11" i="48"/>
  <c r="I28" i="48" s="1"/>
  <c r="H12" i="48"/>
  <c r="H29" i="48" s="1"/>
  <c r="F13" i="48"/>
  <c r="F30" i="48" s="1"/>
  <c r="D14" i="48"/>
  <c r="D31" i="48" s="1"/>
  <c r="J14" i="48"/>
  <c r="J31" i="48" s="1"/>
  <c r="H15" i="48"/>
  <c r="H32" i="48" s="1"/>
  <c r="F16" i="48"/>
  <c r="F33" i="48" s="1"/>
  <c r="E17" i="48"/>
  <c r="E34" i="48" s="1"/>
  <c r="J17" i="48"/>
  <c r="J34" i="48" s="1"/>
  <c r="D42" i="48"/>
  <c r="F42" i="48" s="1"/>
  <c r="D5" i="48"/>
  <c r="D22" i="48" s="1"/>
  <c r="H5" i="48"/>
  <c r="H22" i="48" s="1"/>
  <c r="E6" i="48"/>
  <c r="E23" i="48" s="1"/>
  <c r="I6" i="48"/>
  <c r="I23" i="48" s="1"/>
  <c r="F7" i="48"/>
  <c r="F24" i="48" s="1"/>
  <c r="J7" i="48"/>
  <c r="J24" i="48" s="1"/>
  <c r="G8" i="48"/>
  <c r="G25" i="48" s="1"/>
  <c r="D9" i="48"/>
  <c r="D26" i="48" s="1"/>
  <c r="H9" i="48"/>
  <c r="H26" i="48" s="1"/>
  <c r="E10" i="48"/>
  <c r="E27" i="48" s="1"/>
  <c r="I10" i="48"/>
  <c r="I27" i="48" s="1"/>
  <c r="F11" i="48"/>
  <c r="F28" i="48" s="1"/>
  <c r="J11" i="48"/>
  <c r="J28" i="48" s="1"/>
  <c r="G12" i="48"/>
  <c r="G29" i="48" s="1"/>
  <c r="D13" i="48"/>
  <c r="D30" i="48" s="1"/>
  <c r="H13" i="48"/>
  <c r="H30" i="48" s="1"/>
  <c r="E14" i="48"/>
  <c r="E31" i="48" s="1"/>
  <c r="I14" i="48"/>
  <c r="I31" i="48" s="1"/>
  <c r="F15" i="48"/>
  <c r="F32" i="48" s="1"/>
  <c r="J15" i="48"/>
  <c r="J32" i="48" s="1"/>
  <c r="G16" i="48"/>
  <c r="G33" i="48" s="1"/>
  <c r="D17" i="48"/>
  <c r="D34" i="48" s="1"/>
  <c r="H17" i="48"/>
  <c r="H34" i="48" s="1"/>
  <c r="C35" i="48"/>
  <c r="D39" i="48"/>
  <c r="F39" i="48" s="1"/>
  <c r="C42" i="47"/>
  <c r="C41" i="47"/>
  <c r="C40" i="47"/>
  <c r="C39" i="47"/>
  <c r="C34" i="47"/>
  <c r="A34" i="47"/>
  <c r="C33" i="47"/>
  <c r="A33" i="47"/>
  <c r="C32" i="47"/>
  <c r="A32" i="47"/>
  <c r="C31" i="47"/>
  <c r="A31" i="47"/>
  <c r="C30" i="47"/>
  <c r="A30" i="47"/>
  <c r="C29" i="47"/>
  <c r="A29" i="47"/>
  <c r="C28" i="47"/>
  <c r="A28" i="47"/>
  <c r="C27" i="47"/>
  <c r="A27" i="47"/>
  <c r="C26" i="47"/>
  <c r="A26" i="47"/>
  <c r="C25" i="47"/>
  <c r="A25" i="47"/>
  <c r="C24" i="47"/>
  <c r="A24" i="47"/>
  <c r="C23" i="47"/>
  <c r="A23" i="47"/>
  <c r="C22" i="47"/>
  <c r="A22" i="47"/>
  <c r="J21" i="47"/>
  <c r="I21" i="47"/>
  <c r="H21" i="47"/>
  <c r="G21" i="47"/>
  <c r="F21" i="47"/>
  <c r="E21" i="47"/>
  <c r="D21" i="47"/>
  <c r="C18" i="47"/>
  <c r="D41" i="47" s="1"/>
  <c r="F41" i="47" s="1"/>
  <c r="J17" i="47"/>
  <c r="J34" i="47" s="1"/>
  <c r="G17" i="47"/>
  <c r="G34" i="47" s="1"/>
  <c r="I16" i="47"/>
  <c r="I33" i="47" s="1"/>
  <c r="F16" i="47"/>
  <c r="F33" i="47" s="1"/>
  <c r="I15" i="47"/>
  <c r="I32" i="47" s="1"/>
  <c r="E15" i="47"/>
  <c r="E32" i="47" s="1"/>
  <c r="H14" i="47"/>
  <c r="H31" i="47" s="1"/>
  <c r="G14" i="47"/>
  <c r="G31" i="47" s="1"/>
  <c r="G13" i="47"/>
  <c r="G30" i="47" s="1"/>
  <c r="F13" i="47"/>
  <c r="F30" i="47" s="1"/>
  <c r="J12" i="47"/>
  <c r="J29" i="47" s="1"/>
  <c r="E12" i="47"/>
  <c r="E29" i="47" s="1"/>
  <c r="I11" i="47"/>
  <c r="I28" i="47" s="1"/>
  <c r="E11" i="47"/>
  <c r="E28" i="47" s="1"/>
  <c r="H10" i="47"/>
  <c r="H27" i="47" s="1"/>
  <c r="D10" i="47"/>
  <c r="D27" i="47" s="1"/>
  <c r="J9" i="47"/>
  <c r="J26" i="47" s="1"/>
  <c r="J8" i="47"/>
  <c r="J25" i="47" s="1"/>
  <c r="I8" i="47"/>
  <c r="I25" i="47" s="1"/>
  <c r="F8" i="47"/>
  <c r="F25" i="47" s="1"/>
  <c r="H7" i="47"/>
  <c r="H24" i="47" s="1"/>
  <c r="E7" i="47"/>
  <c r="E24" i="47" s="1"/>
  <c r="H6" i="47"/>
  <c r="H23" i="47" s="1"/>
  <c r="D6" i="47"/>
  <c r="D23" i="47" s="1"/>
  <c r="G5" i="47"/>
  <c r="G22" i="47" s="1"/>
  <c r="F5" i="47"/>
  <c r="F22" i="47" s="1"/>
  <c r="F35" i="48" l="1"/>
  <c r="J35" i="48"/>
  <c r="G35" i="48"/>
  <c r="D35" i="48"/>
  <c r="E35" i="48"/>
  <c r="I35" i="48"/>
  <c r="G6" i="47"/>
  <c r="G23" i="47" s="1"/>
  <c r="I7" i="47"/>
  <c r="I24" i="47" s="1"/>
  <c r="G9" i="47"/>
  <c r="G26" i="47" s="1"/>
  <c r="D11" i="47"/>
  <c r="D28" i="47" s="1"/>
  <c r="F12" i="47"/>
  <c r="F29" i="47" s="1"/>
  <c r="D14" i="47"/>
  <c r="D31" i="47" s="1"/>
  <c r="H15" i="47"/>
  <c r="H32" i="47" s="1"/>
  <c r="J16" i="47"/>
  <c r="J33" i="47" s="1"/>
  <c r="J5" i="47"/>
  <c r="J22" i="47" s="1"/>
  <c r="D7" i="47"/>
  <c r="D24" i="47" s="1"/>
  <c r="E8" i="47"/>
  <c r="E25" i="47" s="1"/>
  <c r="F9" i="47"/>
  <c r="F26" i="47" s="1"/>
  <c r="G10" i="47"/>
  <c r="G27" i="47" s="1"/>
  <c r="H11" i="47"/>
  <c r="H28" i="47" s="1"/>
  <c r="I12" i="47"/>
  <c r="I29" i="47" s="1"/>
  <c r="J13" i="47"/>
  <c r="J30" i="47" s="1"/>
  <c r="D15" i="47"/>
  <c r="D32" i="47" s="1"/>
  <c r="E16" i="47"/>
  <c r="E33" i="47" s="1"/>
  <c r="F17" i="47"/>
  <c r="F34" i="47" s="1"/>
  <c r="D5" i="47"/>
  <c r="D22" i="47" s="1"/>
  <c r="H5" i="47"/>
  <c r="H22" i="47" s="1"/>
  <c r="E6" i="47"/>
  <c r="E23" i="47" s="1"/>
  <c r="I6" i="47"/>
  <c r="I23" i="47" s="1"/>
  <c r="F7" i="47"/>
  <c r="F24" i="47" s="1"/>
  <c r="J7" i="47"/>
  <c r="J24" i="47" s="1"/>
  <c r="G8" i="47"/>
  <c r="G25" i="47" s="1"/>
  <c r="D9" i="47"/>
  <c r="D26" i="47" s="1"/>
  <c r="H9" i="47"/>
  <c r="H26" i="47" s="1"/>
  <c r="E10" i="47"/>
  <c r="E27" i="47" s="1"/>
  <c r="I10" i="47"/>
  <c r="I27" i="47" s="1"/>
  <c r="F11" i="47"/>
  <c r="F28" i="47" s="1"/>
  <c r="J11" i="47"/>
  <c r="J28" i="47" s="1"/>
  <c r="G12" i="47"/>
  <c r="G29" i="47" s="1"/>
  <c r="D13" i="47"/>
  <c r="D30" i="47" s="1"/>
  <c r="H13" i="47"/>
  <c r="H30" i="47" s="1"/>
  <c r="E14" i="47"/>
  <c r="E31" i="47" s="1"/>
  <c r="I14" i="47"/>
  <c r="I31" i="47" s="1"/>
  <c r="F15" i="47"/>
  <c r="F32" i="47" s="1"/>
  <c r="J15" i="47"/>
  <c r="J32" i="47" s="1"/>
  <c r="G16" i="47"/>
  <c r="G33" i="47" s="1"/>
  <c r="D17" i="47"/>
  <c r="D34" i="47" s="1"/>
  <c r="H17" i="47"/>
  <c r="H34" i="47" s="1"/>
  <c r="C35" i="47"/>
  <c r="E5" i="47"/>
  <c r="E22" i="47" s="1"/>
  <c r="I5" i="47"/>
  <c r="I22" i="47" s="1"/>
  <c r="F6" i="47"/>
  <c r="F23" i="47" s="1"/>
  <c r="J6" i="47"/>
  <c r="J23" i="47" s="1"/>
  <c r="G7" i="47"/>
  <c r="G24" i="47" s="1"/>
  <c r="G35" i="47" s="1"/>
  <c r="D8" i="47"/>
  <c r="D25" i="47" s="1"/>
  <c r="H8" i="47"/>
  <c r="H25" i="47" s="1"/>
  <c r="E9" i="47"/>
  <c r="E26" i="47" s="1"/>
  <c r="I9" i="47"/>
  <c r="I26" i="47" s="1"/>
  <c r="F10" i="47"/>
  <c r="F27" i="47" s="1"/>
  <c r="J10" i="47"/>
  <c r="J27" i="47" s="1"/>
  <c r="G11" i="47"/>
  <c r="G28" i="47" s="1"/>
  <c r="D12" i="47"/>
  <c r="D29" i="47" s="1"/>
  <c r="H12" i="47"/>
  <c r="H29" i="47" s="1"/>
  <c r="E13" i="47"/>
  <c r="E30" i="47" s="1"/>
  <c r="I13" i="47"/>
  <c r="I30" i="47" s="1"/>
  <c r="F14" i="47"/>
  <c r="F31" i="47" s="1"/>
  <c r="J14" i="47"/>
  <c r="J31" i="47" s="1"/>
  <c r="G15" i="47"/>
  <c r="G32" i="47" s="1"/>
  <c r="D16" i="47"/>
  <c r="D33" i="47" s="1"/>
  <c r="H16" i="47"/>
  <c r="H33" i="47" s="1"/>
  <c r="E17" i="47"/>
  <c r="E34" i="47" s="1"/>
  <c r="I17" i="47"/>
  <c r="I34" i="47" s="1"/>
  <c r="D40" i="47"/>
  <c r="F40" i="47" s="1"/>
  <c r="D39" i="47"/>
  <c r="F39" i="47" s="1"/>
  <c r="D42" i="47"/>
  <c r="F42" i="47" s="1"/>
  <c r="F42" i="46"/>
  <c r="D42" i="46"/>
  <c r="D41" i="46"/>
  <c r="C42" i="46"/>
  <c r="C41" i="46"/>
  <c r="C40" i="46"/>
  <c r="C39" i="46"/>
  <c r="C38" i="46"/>
  <c r="C33" i="46"/>
  <c r="A33" i="46"/>
  <c r="C32" i="46"/>
  <c r="A32" i="46"/>
  <c r="C31" i="46"/>
  <c r="A31" i="46"/>
  <c r="C30" i="46"/>
  <c r="A30" i="46"/>
  <c r="C29" i="46"/>
  <c r="A29" i="46"/>
  <c r="C28" i="46"/>
  <c r="A28" i="46"/>
  <c r="C27" i="46"/>
  <c r="A27" i="46"/>
  <c r="C26" i="46"/>
  <c r="A26" i="46"/>
  <c r="C25" i="46"/>
  <c r="A25" i="46"/>
  <c r="C24" i="46"/>
  <c r="A24" i="46"/>
  <c r="C23" i="46"/>
  <c r="A23" i="46"/>
  <c r="C22" i="46"/>
  <c r="A22" i="46"/>
  <c r="C21" i="46"/>
  <c r="A21" i="46"/>
  <c r="J20" i="46"/>
  <c r="I20" i="46"/>
  <c r="H20" i="46"/>
  <c r="G20" i="46"/>
  <c r="F20" i="46"/>
  <c r="E20" i="46"/>
  <c r="D20" i="46"/>
  <c r="C18" i="46"/>
  <c r="G17" i="46" s="1"/>
  <c r="G33" i="46" s="1"/>
  <c r="H17" i="46"/>
  <c r="H33" i="46" s="1"/>
  <c r="G16" i="46"/>
  <c r="G32" i="46" s="1"/>
  <c r="F16" i="46"/>
  <c r="F32" i="46" s="1"/>
  <c r="E15" i="46"/>
  <c r="E31" i="46" s="1"/>
  <c r="H14" i="46"/>
  <c r="H30" i="46" s="1"/>
  <c r="G13" i="46"/>
  <c r="G29" i="46" s="1"/>
  <c r="E13" i="46"/>
  <c r="E29" i="46" s="1"/>
  <c r="G12" i="46"/>
  <c r="G28" i="46" s="1"/>
  <c r="F12" i="46"/>
  <c r="F28" i="46" s="1"/>
  <c r="G11" i="46"/>
  <c r="G27" i="46" s="1"/>
  <c r="E11" i="46"/>
  <c r="E27" i="46" s="1"/>
  <c r="F10" i="46"/>
  <c r="F26" i="46" s="1"/>
  <c r="E10" i="46"/>
  <c r="E26" i="46" s="1"/>
  <c r="G9" i="46"/>
  <c r="G25" i="46" s="1"/>
  <c r="E9" i="46"/>
  <c r="E25" i="46" s="1"/>
  <c r="G8" i="46"/>
  <c r="G24" i="46" s="1"/>
  <c r="D8" i="46"/>
  <c r="D24" i="46" s="1"/>
  <c r="F7" i="46"/>
  <c r="F23" i="46" s="1"/>
  <c r="E7" i="46"/>
  <c r="E23" i="46" s="1"/>
  <c r="F6" i="46"/>
  <c r="F22" i="46" s="1"/>
  <c r="E6" i="46"/>
  <c r="E22" i="46" s="1"/>
  <c r="G5" i="46"/>
  <c r="G21" i="46" s="1"/>
  <c r="D5" i="46"/>
  <c r="D21" i="46" s="1"/>
  <c r="H35" i="47" l="1"/>
  <c r="F35" i="47"/>
  <c r="D35" i="47"/>
  <c r="I35" i="47"/>
  <c r="J35" i="47"/>
  <c r="E35" i="47"/>
  <c r="C34" i="46"/>
  <c r="H5" i="46"/>
  <c r="H21" i="46" s="1"/>
  <c r="H6" i="46"/>
  <c r="H22" i="46" s="1"/>
  <c r="I7" i="46"/>
  <c r="I23" i="46" s="1"/>
  <c r="H8" i="46"/>
  <c r="H24" i="46" s="1"/>
  <c r="H9" i="46"/>
  <c r="H25" i="46" s="1"/>
  <c r="I10" i="46"/>
  <c r="I26" i="46" s="1"/>
  <c r="I11" i="46"/>
  <c r="I27" i="46" s="1"/>
  <c r="H12" i="46"/>
  <c r="H28" i="46" s="1"/>
  <c r="D14" i="46"/>
  <c r="D30" i="46" s="1"/>
  <c r="F15" i="46"/>
  <c r="F31" i="46" s="1"/>
  <c r="J16" i="46"/>
  <c r="J32" i="46" s="1"/>
  <c r="D40" i="46"/>
  <c r="F40" i="46" s="1"/>
  <c r="I5" i="46"/>
  <c r="I21" i="46" s="1"/>
  <c r="J6" i="46"/>
  <c r="J22" i="46" s="1"/>
  <c r="J7" i="46"/>
  <c r="J23" i="46" s="1"/>
  <c r="J8" i="46"/>
  <c r="J24" i="46" s="1"/>
  <c r="D10" i="46"/>
  <c r="D26" i="46" s="1"/>
  <c r="J10" i="46"/>
  <c r="J26" i="46" s="1"/>
  <c r="J11" i="46"/>
  <c r="J27" i="46" s="1"/>
  <c r="D13" i="46"/>
  <c r="D29" i="46" s="1"/>
  <c r="E14" i="46"/>
  <c r="E30" i="46" s="1"/>
  <c r="I15" i="46"/>
  <c r="I31" i="46" s="1"/>
  <c r="F41" i="46"/>
  <c r="J17" i="46"/>
  <c r="J33" i="46" s="1"/>
  <c r="F17" i="46"/>
  <c r="F33" i="46" s="1"/>
  <c r="I16" i="46"/>
  <c r="I32" i="46" s="1"/>
  <c r="E16" i="46"/>
  <c r="E32" i="46" s="1"/>
  <c r="H15" i="46"/>
  <c r="H31" i="46" s="1"/>
  <c r="D15" i="46"/>
  <c r="D31" i="46" s="1"/>
  <c r="G14" i="46"/>
  <c r="G30" i="46" s="1"/>
  <c r="J13" i="46"/>
  <c r="J29" i="46" s="1"/>
  <c r="F13" i="46"/>
  <c r="F29" i="46" s="1"/>
  <c r="I12" i="46"/>
  <c r="I28" i="46" s="1"/>
  <c r="E12" i="46"/>
  <c r="E28" i="46" s="1"/>
  <c r="H11" i="46"/>
  <c r="H27" i="46" s="1"/>
  <c r="D11" i="46"/>
  <c r="D27" i="46" s="1"/>
  <c r="G10" i="46"/>
  <c r="G26" i="46" s="1"/>
  <c r="J9" i="46"/>
  <c r="J25" i="46" s="1"/>
  <c r="F9" i="46"/>
  <c r="F25" i="46" s="1"/>
  <c r="I8" i="46"/>
  <c r="I24" i="46" s="1"/>
  <c r="E8" i="46"/>
  <c r="E24" i="46" s="1"/>
  <c r="H7" i="46"/>
  <c r="H23" i="46" s="1"/>
  <c r="D7" i="46"/>
  <c r="D23" i="46" s="1"/>
  <c r="G6" i="46"/>
  <c r="G22" i="46" s="1"/>
  <c r="J5" i="46"/>
  <c r="J21" i="46" s="1"/>
  <c r="F5" i="46"/>
  <c r="F21" i="46" s="1"/>
  <c r="D38" i="46"/>
  <c r="F38" i="46" s="1"/>
  <c r="I17" i="46"/>
  <c r="I33" i="46" s="1"/>
  <c r="E17" i="46"/>
  <c r="E33" i="46" s="1"/>
  <c r="H16" i="46"/>
  <c r="H32" i="46" s="1"/>
  <c r="D16" i="46"/>
  <c r="D32" i="46" s="1"/>
  <c r="G15" i="46"/>
  <c r="G31" i="46" s="1"/>
  <c r="J14" i="46"/>
  <c r="J30" i="46" s="1"/>
  <c r="F14" i="46"/>
  <c r="F30" i="46" s="1"/>
  <c r="I13" i="46"/>
  <c r="I29" i="46" s="1"/>
  <c r="E5" i="46"/>
  <c r="E21" i="46" s="1"/>
  <c r="D6" i="46"/>
  <c r="D22" i="46" s="1"/>
  <c r="I6" i="46"/>
  <c r="I22" i="46" s="1"/>
  <c r="G7" i="46"/>
  <c r="G23" i="46" s="1"/>
  <c r="F8" i="46"/>
  <c r="F24" i="46" s="1"/>
  <c r="D9" i="46"/>
  <c r="D25" i="46" s="1"/>
  <c r="I9" i="46"/>
  <c r="I25" i="46" s="1"/>
  <c r="H10" i="46"/>
  <c r="H26" i="46" s="1"/>
  <c r="F11" i="46"/>
  <c r="F27" i="46" s="1"/>
  <c r="D12" i="46"/>
  <c r="D28" i="46" s="1"/>
  <c r="J12" i="46"/>
  <c r="J28" i="46" s="1"/>
  <c r="H13" i="46"/>
  <c r="H29" i="46" s="1"/>
  <c r="I14" i="46"/>
  <c r="I30" i="46" s="1"/>
  <c r="J15" i="46"/>
  <c r="J31" i="46" s="1"/>
  <c r="D17" i="46"/>
  <c r="D33" i="46" s="1"/>
  <c r="D39" i="46"/>
  <c r="F39" i="46" s="1"/>
  <c r="C39" i="45"/>
  <c r="C44" i="45"/>
  <c r="C42" i="45"/>
  <c r="C41" i="45"/>
  <c r="C40" i="45"/>
  <c r="C34" i="45"/>
  <c r="A34" i="45"/>
  <c r="C33" i="45"/>
  <c r="A33" i="45"/>
  <c r="C32" i="45"/>
  <c r="A32" i="45"/>
  <c r="C31" i="45"/>
  <c r="A31" i="45"/>
  <c r="C30" i="45"/>
  <c r="A30" i="45"/>
  <c r="C29" i="45"/>
  <c r="A29" i="45"/>
  <c r="C28" i="45"/>
  <c r="A28" i="45"/>
  <c r="C27" i="45"/>
  <c r="A27" i="45"/>
  <c r="C26" i="45"/>
  <c r="A26" i="45"/>
  <c r="C25" i="45"/>
  <c r="A25" i="45"/>
  <c r="C24" i="45"/>
  <c r="A24" i="45"/>
  <c r="C23" i="45"/>
  <c r="A23" i="45"/>
  <c r="C22" i="45"/>
  <c r="A22" i="45"/>
  <c r="J21" i="45"/>
  <c r="I21" i="45"/>
  <c r="H21" i="45"/>
  <c r="G21" i="45"/>
  <c r="F21" i="45"/>
  <c r="E21" i="45"/>
  <c r="D21" i="45"/>
  <c r="C19" i="45"/>
  <c r="D44" i="45" s="1"/>
  <c r="F9" i="45"/>
  <c r="F25" i="45" s="1"/>
  <c r="G34" i="46" l="1"/>
  <c r="I34" i="46"/>
  <c r="H34" i="46"/>
  <c r="D34" i="46"/>
  <c r="F34" i="46"/>
  <c r="J34" i="46"/>
  <c r="E34" i="46"/>
  <c r="D7" i="45"/>
  <c r="D23" i="45" s="1"/>
  <c r="E8" i="45"/>
  <c r="E24" i="45" s="1"/>
  <c r="G10" i="45"/>
  <c r="G26" i="45" s="1"/>
  <c r="H11" i="45"/>
  <c r="H27" i="45" s="1"/>
  <c r="I12" i="45"/>
  <c r="I28" i="45" s="1"/>
  <c r="J13" i="45"/>
  <c r="J29" i="45" s="1"/>
  <c r="D15" i="45"/>
  <c r="D31" i="45" s="1"/>
  <c r="E16" i="45"/>
  <c r="E32" i="45" s="1"/>
  <c r="F17" i="45"/>
  <c r="F33" i="45" s="1"/>
  <c r="G7" i="45"/>
  <c r="G23" i="45" s="1"/>
  <c r="I9" i="45"/>
  <c r="I25" i="45" s="1"/>
  <c r="D12" i="45"/>
  <c r="D28" i="45" s="1"/>
  <c r="F14" i="45"/>
  <c r="F30" i="45" s="1"/>
  <c r="H16" i="45"/>
  <c r="H32" i="45" s="1"/>
  <c r="G6" i="45"/>
  <c r="G22" i="45" s="1"/>
  <c r="H7" i="45"/>
  <c r="H23" i="45" s="1"/>
  <c r="I8" i="45"/>
  <c r="I24" i="45" s="1"/>
  <c r="J9" i="45"/>
  <c r="J25" i="45" s="1"/>
  <c r="D11" i="45"/>
  <c r="D27" i="45" s="1"/>
  <c r="E12" i="45"/>
  <c r="E28" i="45" s="1"/>
  <c r="F13" i="45"/>
  <c r="F29" i="45" s="1"/>
  <c r="G14" i="45"/>
  <c r="G30" i="45" s="1"/>
  <c r="H15" i="45"/>
  <c r="H31" i="45" s="1"/>
  <c r="I16" i="45"/>
  <c r="I32" i="45" s="1"/>
  <c r="F18" i="45"/>
  <c r="F34" i="45" s="1"/>
  <c r="F6" i="45"/>
  <c r="F22" i="45" s="1"/>
  <c r="H8" i="45"/>
  <c r="H24" i="45" s="1"/>
  <c r="J10" i="45"/>
  <c r="J26" i="45" s="1"/>
  <c r="E13" i="45"/>
  <c r="E29" i="45" s="1"/>
  <c r="G15" i="45"/>
  <c r="G31" i="45" s="1"/>
  <c r="I17" i="45"/>
  <c r="I33" i="45" s="1"/>
  <c r="J6" i="45"/>
  <c r="J22" i="45" s="1"/>
  <c r="D8" i="45"/>
  <c r="D24" i="45" s="1"/>
  <c r="E9" i="45"/>
  <c r="E25" i="45" s="1"/>
  <c r="F10" i="45"/>
  <c r="F26" i="45" s="1"/>
  <c r="G11" i="45"/>
  <c r="G27" i="45" s="1"/>
  <c r="H12" i="45"/>
  <c r="H28" i="45" s="1"/>
  <c r="I13" i="45"/>
  <c r="I29" i="45" s="1"/>
  <c r="J14" i="45"/>
  <c r="J30" i="45" s="1"/>
  <c r="D16" i="45"/>
  <c r="D32" i="45" s="1"/>
  <c r="E17" i="45"/>
  <c r="E33" i="45" s="1"/>
  <c r="J18" i="45"/>
  <c r="J34" i="45" s="1"/>
  <c r="D42" i="45"/>
  <c r="F42" i="45" s="1"/>
  <c r="D6" i="45"/>
  <c r="D22" i="45" s="1"/>
  <c r="E7" i="45"/>
  <c r="E23" i="45" s="1"/>
  <c r="F8" i="45"/>
  <c r="F24" i="45" s="1"/>
  <c r="E6" i="45"/>
  <c r="E22" i="45" s="1"/>
  <c r="I6" i="45"/>
  <c r="I22" i="45" s="1"/>
  <c r="F7" i="45"/>
  <c r="F23" i="45" s="1"/>
  <c r="J7" i="45"/>
  <c r="J23" i="45" s="1"/>
  <c r="G8" i="45"/>
  <c r="G24" i="45" s="1"/>
  <c r="D9" i="45"/>
  <c r="D25" i="45" s="1"/>
  <c r="H9" i="45"/>
  <c r="H25" i="45" s="1"/>
  <c r="E10" i="45"/>
  <c r="E26" i="45" s="1"/>
  <c r="I10" i="45"/>
  <c r="I26" i="45" s="1"/>
  <c r="F11" i="45"/>
  <c r="F27" i="45" s="1"/>
  <c r="J11" i="45"/>
  <c r="J27" i="45" s="1"/>
  <c r="G12" i="45"/>
  <c r="G28" i="45" s="1"/>
  <c r="D13" i="45"/>
  <c r="D29" i="45" s="1"/>
  <c r="H13" i="45"/>
  <c r="H29" i="45" s="1"/>
  <c r="E14" i="45"/>
  <c r="E30" i="45" s="1"/>
  <c r="I14" i="45"/>
  <c r="I30" i="45" s="1"/>
  <c r="F15" i="45"/>
  <c r="F31" i="45" s="1"/>
  <c r="J15" i="45"/>
  <c r="J31" i="45" s="1"/>
  <c r="G16" i="45"/>
  <c r="G32" i="45" s="1"/>
  <c r="D17" i="45"/>
  <c r="D33" i="45" s="1"/>
  <c r="H17" i="45"/>
  <c r="H33" i="45" s="1"/>
  <c r="E18" i="45"/>
  <c r="E34" i="45" s="1"/>
  <c r="I18" i="45"/>
  <c r="I34" i="45" s="1"/>
  <c r="J17" i="45"/>
  <c r="J33" i="45" s="1"/>
  <c r="G18" i="45"/>
  <c r="G34" i="45" s="1"/>
  <c r="D39" i="45"/>
  <c r="F39" i="45" s="1"/>
  <c r="H6" i="45"/>
  <c r="H22" i="45" s="1"/>
  <c r="I7" i="45"/>
  <c r="I23" i="45" s="1"/>
  <c r="J8" i="45"/>
  <c r="J24" i="45" s="1"/>
  <c r="G9" i="45"/>
  <c r="G25" i="45" s="1"/>
  <c r="D10" i="45"/>
  <c r="D26" i="45" s="1"/>
  <c r="H10" i="45"/>
  <c r="H26" i="45" s="1"/>
  <c r="E11" i="45"/>
  <c r="E27" i="45" s="1"/>
  <c r="I11" i="45"/>
  <c r="I27" i="45" s="1"/>
  <c r="F12" i="45"/>
  <c r="F28" i="45" s="1"/>
  <c r="J12" i="45"/>
  <c r="J28" i="45" s="1"/>
  <c r="G13" i="45"/>
  <c r="G29" i="45" s="1"/>
  <c r="D14" i="45"/>
  <c r="D30" i="45" s="1"/>
  <c r="H14" i="45"/>
  <c r="H30" i="45" s="1"/>
  <c r="E15" i="45"/>
  <c r="E31" i="45" s="1"/>
  <c r="I15" i="45"/>
  <c r="I31" i="45" s="1"/>
  <c r="F16" i="45"/>
  <c r="F32" i="45" s="1"/>
  <c r="J16" i="45"/>
  <c r="J32" i="45" s="1"/>
  <c r="G17" i="45"/>
  <c r="G33" i="45" s="1"/>
  <c r="D18" i="45"/>
  <c r="D34" i="45" s="1"/>
  <c r="H18" i="45"/>
  <c r="H34" i="45" s="1"/>
  <c r="D40" i="45"/>
  <c r="F40" i="45" s="1"/>
  <c r="D43" i="45"/>
  <c r="F43" i="45" s="1"/>
  <c r="C35" i="45"/>
  <c r="D41" i="45"/>
  <c r="F41" i="45" s="1"/>
  <c r="D42" i="44"/>
  <c r="D41" i="44"/>
  <c r="D40" i="44"/>
  <c r="D39" i="44"/>
  <c r="C40" i="44"/>
  <c r="C44" i="44"/>
  <c r="F42" i="44"/>
  <c r="C42" i="44"/>
  <c r="C41" i="44"/>
  <c r="C39" i="44"/>
  <c r="C34" i="44"/>
  <c r="A34" i="44"/>
  <c r="C33" i="44"/>
  <c r="A33" i="44"/>
  <c r="C32" i="44"/>
  <c r="A32" i="44"/>
  <c r="C31" i="44"/>
  <c r="A31" i="44"/>
  <c r="C30" i="44"/>
  <c r="A30" i="44"/>
  <c r="C29" i="44"/>
  <c r="A29" i="44"/>
  <c r="C28" i="44"/>
  <c r="A28" i="44"/>
  <c r="C27" i="44"/>
  <c r="A27" i="44"/>
  <c r="C26" i="44"/>
  <c r="A26" i="44"/>
  <c r="C25" i="44"/>
  <c r="A25" i="44"/>
  <c r="C24" i="44"/>
  <c r="A24" i="44"/>
  <c r="C23" i="44"/>
  <c r="A23" i="44"/>
  <c r="C22" i="44"/>
  <c r="A22" i="44"/>
  <c r="J21" i="44"/>
  <c r="I21" i="44"/>
  <c r="H21" i="44"/>
  <c r="G21" i="44"/>
  <c r="F21" i="44"/>
  <c r="E21" i="44"/>
  <c r="D21" i="44"/>
  <c r="C19" i="44"/>
  <c r="F41" i="44" s="1"/>
  <c r="J18" i="44"/>
  <c r="J34" i="44" s="1"/>
  <c r="F18" i="44"/>
  <c r="F34" i="44" s="1"/>
  <c r="E18" i="44"/>
  <c r="E34" i="44" s="1"/>
  <c r="H17" i="44"/>
  <c r="H33" i="44" s="1"/>
  <c r="F17" i="44"/>
  <c r="F33" i="44" s="1"/>
  <c r="I16" i="44"/>
  <c r="I32" i="44" s="1"/>
  <c r="H16" i="44"/>
  <c r="H32" i="44" s="1"/>
  <c r="D16" i="44"/>
  <c r="D32" i="44" s="1"/>
  <c r="J15" i="44"/>
  <c r="J31" i="44" s="1"/>
  <c r="F15" i="44"/>
  <c r="F31" i="44" s="1"/>
  <c r="D15" i="44"/>
  <c r="D31" i="44" s="1"/>
  <c r="G14" i="44"/>
  <c r="G30" i="44" s="1"/>
  <c r="F14" i="44"/>
  <c r="F30" i="44" s="1"/>
  <c r="I13" i="44"/>
  <c r="I29" i="44" s="1"/>
  <c r="H13" i="44"/>
  <c r="H29" i="44" s="1"/>
  <c r="D13" i="44"/>
  <c r="D29" i="44" s="1"/>
  <c r="I12" i="44"/>
  <c r="I28" i="44" s="1"/>
  <c r="E12" i="44"/>
  <c r="E28" i="44" s="1"/>
  <c r="D12" i="44"/>
  <c r="D28" i="44" s="1"/>
  <c r="G11" i="44"/>
  <c r="G27" i="44" s="1"/>
  <c r="F11" i="44"/>
  <c r="F27" i="44" s="1"/>
  <c r="I10" i="44"/>
  <c r="I26" i="44" s="1"/>
  <c r="G10" i="44"/>
  <c r="G26" i="44" s="1"/>
  <c r="J9" i="44"/>
  <c r="J25" i="44" s="1"/>
  <c r="I9" i="44"/>
  <c r="I25" i="44" s="1"/>
  <c r="E9" i="44"/>
  <c r="E25" i="44" s="1"/>
  <c r="D9" i="44"/>
  <c r="D25" i="44" s="1"/>
  <c r="G8" i="44"/>
  <c r="G24" i="44" s="1"/>
  <c r="E8" i="44"/>
  <c r="E24" i="44" s="1"/>
  <c r="H7" i="44"/>
  <c r="H23" i="44" s="1"/>
  <c r="G7" i="44"/>
  <c r="G23" i="44" s="1"/>
  <c r="J6" i="44"/>
  <c r="J22" i="44" s="1"/>
  <c r="I6" i="44"/>
  <c r="I22" i="44" s="1"/>
  <c r="E6" i="44"/>
  <c r="E22" i="44" s="1"/>
  <c r="G35" i="45" l="1"/>
  <c r="E35" i="45"/>
  <c r="I35" i="45"/>
  <c r="D35" i="45"/>
  <c r="J35" i="45"/>
  <c r="F35" i="45"/>
  <c r="H35" i="45"/>
  <c r="F40" i="44"/>
  <c r="F6" i="44"/>
  <c r="F22" i="44" s="1"/>
  <c r="D7" i="44"/>
  <c r="D23" i="44" s="1"/>
  <c r="J7" i="44"/>
  <c r="J23" i="44" s="1"/>
  <c r="H8" i="44"/>
  <c r="H24" i="44" s="1"/>
  <c r="F9" i="44"/>
  <c r="F25" i="44" s="1"/>
  <c r="E10" i="44"/>
  <c r="E26" i="44" s="1"/>
  <c r="E35" i="44" s="1"/>
  <c r="J10" i="44"/>
  <c r="J26" i="44" s="1"/>
  <c r="H11" i="44"/>
  <c r="H27" i="44" s="1"/>
  <c r="G12" i="44"/>
  <c r="G28" i="44" s="1"/>
  <c r="E13" i="44"/>
  <c r="E29" i="44" s="1"/>
  <c r="J13" i="44"/>
  <c r="J29" i="44" s="1"/>
  <c r="I14" i="44"/>
  <c r="I30" i="44" s="1"/>
  <c r="G15" i="44"/>
  <c r="G31" i="44" s="1"/>
  <c r="E16" i="44"/>
  <c r="E32" i="44" s="1"/>
  <c r="D17" i="44"/>
  <c r="D33" i="44" s="1"/>
  <c r="I17" i="44"/>
  <c r="I33" i="44" s="1"/>
  <c r="G18" i="44"/>
  <c r="G34" i="44" s="1"/>
  <c r="D44" i="44"/>
  <c r="G6" i="44"/>
  <c r="G22" i="44" s="1"/>
  <c r="F7" i="44"/>
  <c r="F23" i="44" s="1"/>
  <c r="D8" i="44"/>
  <c r="D24" i="44" s="1"/>
  <c r="I8" i="44"/>
  <c r="I24" i="44" s="1"/>
  <c r="H9" i="44"/>
  <c r="H25" i="44" s="1"/>
  <c r="F10" i="44"/>
  <c r="F26" i="44" s="1"/>
  <c r="D11" i="44"/>
  <c r="D27" i="44" s="1"/>
  <c r="J11" i="44"/>
  <c r="J27" i="44" s="1"/>
  <c r="H12" i="44"/>
  <c r="H28" i="44" s="1"/>
  <c r="F13" i="44"/>
  <c r="F29" i="44" s="1"/>
  <c r="E14" i="44"/>
  <c r="E30" i="44" s="1"/>
  <c r="J14" i="44"/>
  <c r="J30" i="44" s="1"/>
  <c r="H15" i="44"/>
  <c r="H31" i="44" s="1"/>
  <c r="G16" i="44"/>
  <c r="G32" i="44" s="1"/>
  <c r="E17" i="44"/>
  <c r="E33" i="44" s="1"/>
  <c r="J17" i="44"/>
  <c r="J33" i="44" s="1"/>
  <c r="I18" i="44"/>
  <c r="I34" i="44" s="1"/>
  <c r="D43" i="44"/>
  <c r="F43" i="44" s="1"/>
  <c r="D6" i="44"/>
  <c r="D22" i="44" s="1"/>
  <c r="H6" i="44"/>
  <c r="H22" i="44" s="1"/>
  <c r="E7" i="44"/>
  <c r="E23" i="44" s="1"/>
  <c r="I7" i="44"/>
  <c r="I23" i="44" s="1"/>
  <c r="F8" i="44"/>
  <c r="F24" i="44" s="1"/>
  <c r="J8" i="44"/>
  <c r="J24" i="44" s="1"/>
  <c r="G9" i="44"/>
  <c r="G25" i="44" s="1"/>
  <c r="D10" i="44"/>
  <c r="D26" i="44" s="1"/>
  <c r="H10" i="44"/>
  <c r="H26" i="44" s="1"/>
  <c r="E11" i="44"/>
  <c r="E27" i="44" s="1"/>
  <c r="I11" i="44"/>
  <c r="I27" i="44" s="1"/>
  <c r="F12" i="44"/>
  <c r="F28" i="44" s="1"/>
  <c r="J12" i="44"/>
  <c r="J28" i="44" s="1"/>
  <c r="G13" i="44"/>
  <c r="G29" i="44" s="1"/>
  <c r="D14" i="44"/>
  <c r="D30" i="44" s="1"/>
  <c r="H14" i="44"/>
  <c r="H30" i="44" s="1"/>
  <c r="E15" i="44"/>
  <c r="E31" i="44" s="1"/>
  <c r="I15" i="44"/>
  <c r="I31" i="44" s="1"/>
  <c r="F16" i="44"/>
  <c r="F32" i="44" s="1"/>
  <c r="J16" i="44"/>
  <c r="J32" i="44" s="1"/>
  <c r="G17" i="44"/>
  <c r="G33" i="44" s="1"/>
  <c r="D18" i="44"/>
  <c r="D34" i="44" s="1"/>
  <c r="H18" i="44"/>
  <c r="H34" i="44" s="1"/>
  <c r="C35" i="44"/>
  <c r="F39" i="44"/>
  <c r="I35" i="44"/>
  <c r="C42" i="43"/>
  <c r="C41" i="43"/>
  <c r="C40" i="43"/>
  <c r="C39" i="43"/>
  <c r="C34" i="43"/>
  <c r="A34" i="43"/>
  <c r="C33" i="43"/>
  <c r="A33" i="43"/>
  <c r="C32" i="43"/>
  <c r="A32" i="43"/>
  <c r="C31" i="43"/>
  <c r="A31" i="43"/>
  <c r="C30" i="43"/>
  <c r="A30" i="43"/>
  <c r="C29" i="43"/>
  <c r="A29" i="43"/>
  <c r="C28" i="43"/>
  <c r="A28" i="43"/>
  <c r="C27" i="43"/>
  <c r="A27" i="43"/>
  <c r="C26" i="43"/>
  <c r="A26" i="43"/>
  <c r="C25" i="43"/>
  <c r="A25" i="43"/>
  <c r="C24" i="43"/>
  <c r="A24" i="43"/>
  <c r="C23" i="43"/>
  <c r="A23" i="43"/>
  <c r="C22" i="43"/>
  <c r="A22" i="43"/>
  <c r="J21" i="43"/>
  <c r="I21" i="43"/>
  <c r="H21" i="43"/>
  <c r="G21" i="43"/>
  <c r="F21" i="43"/>
  <c r="E21" i="43"/>
  <c r="D21" i="43"/>
  <c r="C18" i="43"/>
  <c r="D41" i="43" s="1"/>
  <c r="F41" i="43" s="1"/>
  <c r="H17" i="43"/>
  <c r="H34" i="43" s="1"/>
  <c r="G17" i="43"/>
  <c r="G34" i="43" s="1"/>
  <c r="I15" i="43"/>
  <c r="I32" i="43" s="1"/>
  <c r="E15" i="43"/>
  <c r="E32" i="43" s="1"/>
  <c r="E14" i="43"/>
  <c r="E31" i="43" s="1"/>
  <c r="E13" i="43"/>
  <c r="E30" i="43" s="1"/>
  <c r="G12" i="43"/>
  <c r="G29" i="43" s="1"/>
  <c r="F12" i="43"/>
  <c r="F29" i="43" s="1"/>
  <c r="E11" i="43"/>
  <c r="E28" i="43" s="1"/>
  <c r="J10" i="43"/>
  <c r="J27" i="43" s="1"/>
  <c r="F10" i="43"/>
  <c r="F27" i="43" s="1"/>
  <c r="G9" i="43"/>
  <c r="G26" i="43" s="1"/>
  <c r="E9" i="43"/>
  <c r="E26" i="43" s="1"/>
  <c r="G8" i="43"/>
  <c r="G25" i="43" s="1"/>
  <c r="J7" i="43"/>
  <c r="J24" i="43" s="1"/>
  <c r="E7" i="43"/>
  <c r="E24" i="43" s="1"/>
  <c r="J6" i="43"/>
  <c r="J23" i="43" s="1"/>
  <c r="I5" i="43"/>
  <c r="I22" i="43" s="1"/>
  <c r="G5" i="43"/>
  <c r="G22" i="43" s="1"/>
  <c r="D5" i="43"/>
  <c r="D22" i="43" s="1"/>
  <c r="J35" i="44" l="1"/>
  <c r="G35" i="44"/>
  <c r="H35" i="44"/>
  <c r="F35" i="44"/>
  <c r="D35" i="44"/>
  <c r="F6" i="43"/>
  <c r="F23" i="43" s="1"/>
  <c r="D8" i="43"/>
  <c r="D25" i="43" s="1"/>
  <c r="D10" i="43"/>
  <c r="D27" i="43" s="1"/>
  <c r="J11" i="43"/>
  <c r="J28" i="43" s="1"/>
  <c r="G13" i="43"/>
  <c r="G30" i="43" s="1"/>
  <c r="F16" i="43"/>
  <c r="F33" i="43" s="1"/>
  <c r="E6" i="43"/>
  <c r="E23" i="43" s="1"/>
  <c r="F7" i="43"/>
  <c r="F24" i="43" s="1"/>
  <c r="J8" i="43"/>
  <c r="J25" i="43" s="1"/>
  <c r="E10" i="43"/>
  <c r="E27" i="43" s="1"/>
  <c r="G11" i="43"/>
  <c r="G28" i="43" s="1"/>
  <c r="D13" i="43"/>
  <c r="D30" i="43" s="1"/>
  <c r="H14" i="43"/>
  <c r="H31" i="43" s="1"/>
  <c r="G16" i="43"/>
  <c r="G33" i="43" s="1"/>
  <c r="C35" i="43"/>
  <c r="H5" i="43"/>
  <c r="H22" i="43" s="1"/>
  <c r="H6" i="43"/>
  <c r="H23" i="43" s="1"/>
  <c r="I7" i="43"/>
  <c r="I24" i="43" s="1"/>
  <c r="H8" i="43"/>
  <c r="H25" i="43" s="1"/>
  <c r="H9" i="43"/>
  <c r="H26" i="43" s="1"/>
  <c r="I10" i="43"/>
  <c r="I27" i="43" s="1"/>
  <c r="I11" i="43"/>
  <c r="I28" i="43" s="1"/>
  <c r="H12" i="43"/>
  <c r="H29" i="43" s="1"/>
  <c r="D14" i="43"/>
  <c r="D31" i="43" s="1"/>
  <c r="F15" i="43"/>
  <c r="F32" i="43" s="1"/>
  <c r="J16" i="43"/>
  <c r="J33" i="43" s="1"/>
  <c r="D42" i="43"/>
  <c r="F42" i="43" s="1"/>
  <c r="J17" i="43"/>
  <c r="J34" i="43" s="1"/>
  <c r="F17" i="43"/>
  <c r="F34" i="43" s="1"/>
  <c r="I16" i="43"/>
  <c r="I33" i="43" s="1"/>
  <c r="E16" i="43"/>
  <c r="E33" i="43" s="1"/>
  <c r="H15" i="43"/>
  <c r="H32" i="43" s="1"/>
  <c r="D15" i="43"/>
  <c r="D32" i="43" s="1"/>
  <c r="G14" i="43"/>
  <c r="G31" i="43" s="1"/>
  <c r="J13" i="43"/>
  <c r="J30" i="43" s="1"/>
  <c r="F13" i="43"/>
  <c r="F30" i="43" s="1"/>
  <c r="I12" i="43"/>
  <c r="I29" i="43" s="1"/>
  <c r="E12" i="43"/>
  <c r="E29" i="43" s="1"/>
  <c r="H11" i="43"/>
  <c r="H28" i="43" s="1"/>
  <c r="D11" i="43"/>
  <c r="D28" i="43" s="1"/>
  <c r="G10" i="43"/>
  <c r="G27" i="43" s="1"/>
  <c r="J9" i="43"/>
  <c r="J26" i="43" s="1"/>
  <c r="F9" i="43"/>
  <c r="F26" i="43" s="1"/>
  <c r="I8" i="43"/>
  <c r="I25" i="43" s="1"/>
  <c r="E8" i="43"/>
  <c r="E25" i="43" s="1"/>
  <c r="H7" i="43"/>
  <c r="H24" i="43" s="1"/>
  <c r="D7" i="43"/>
  <c r="D24" i="43" s="1"/>
  <c r="G6" i="43"/>
  <c r="G23" i="43" s="1"/>
  <c r="J5" i="43"/>
  <c r="J22" i="43" s="1"/>
  <c r="F5" i="43"/>
  <c r="F22" i="43" s="1"/>
  <c r="D39" i="43"/>
  <c r="F39" i="43" s="1"/>
  <c r="I17" i="43"/>
  <c r="I34" i="43" s="1"/>
  <c r="E17" i="43"/>
  <c r="E34" i="43" s="1"/>
  <c r="H16" i="43"/>
  <c r="H33" i="43" s="1"/>
  <c r="D16" i="43"/>
  <c r="D33" i="43" s="1"/>
  <c r="G15" i="43"/>
  <c r="G32" i="43" s="1"/>
  <c r="J14" i="43"/>
  <c r="J31" i="43" s="1"/>
  <c r="F14" i="43"/>
  <c r="F31" i="43" s="1"/>
  <c r="I13" i="43"/>
  <c r="I30" i="43" s="1"/>
  <c r="E5" i="43"/>
  <c r="E22" i="43" s="1"/>
  <c r="D6" i="43"/>
  <c r="D23" i="43" s="1"/>
  <c r="I6" i="43"/>
  <c r="I23" i="43" s="1"/>
  <c r="G7" i="43"/>
  <c r="G24" i="43" s="1"/>
  <c r="F8" i="43"/>
  <c r="F25" i="43" s="1"/>
  <c r="D9" i="43"/>
  <c r="D26" i="43" s="1"/>
  <c r="I9" i="43"/>
  <c r="I26" i="43" s="1"/>
  <c r="H10" i="43"/>
  <c r="H27" i="43" s="1"/>
  <c r="F11" i="43"/>
  <c r="F28" i="43" s="1"/>
  <c r="D12" i="43"/>
  <c r="D29" i="43" s="1"/>
  <c r="J12" i="43"/>
  <c r="J29" i="43" s="1"/>
  <c r="H13" i="43"/>
  <c r="H30" i="43" s="1"/>
  <c r="I14" i="43"/>
  <c r="I31" i="43" s="1"/>
  <c r="J15" i="43"/>
  <c r="J32" i="43" s="1"/>
  <c r="D17" i="43"/>
  <c r="D34" i="43" s="1"/>
  <c r="D40" i="43"/>
  <c r="F40" i="43" s="1"/>
  <c r="C42" i="42"/>
  <c r="C41" i="42"/>
  <c r="C40" i="42"/>
  <c r="C39" i="42"/>
  <c r="C34" i="42"/>
  <c r="A34" i="42"/>
  <c r="C33" i="42"/>
  <c r="A33" i="42"/>
  <c r="C32" i="42"/>
  <c r="A32" i="42"/>
  <c r="C31" i="42"/>
  <c r="A31" i="42"/>
  <c r="C30" i="42"/>
  <c r="A30" i="42"/>
  <c r="C29" i="42"/>
  <c r="A29" i="42"/>
  <c r="C28" i="42"/>
  <c r="A28" i="42"/>
  <c r="C27" i="42"/>
  <c r="A27" i="42"/>
  <c r="C26" i="42"/>
  <c r="A26" i="42"/>
  <c r="C25" i="42"/>
  <c r="A25" i="42"/>
  <c r="C24" i="42"/>
  <c r="A24" i="42"/>
  <c r="C23" i="42"/>
  <c r="A23" i="42"/>
  <c r="C22" i="42"/>
  <c r="A22" i="42"/>
  <c r="J21" i="42"/>
  <c r="I21" i="42"/>
  <c r="H21" i="42"/>
  <c r="G21" i="42"/>
  <c r="F21" i="42"/>
  <c r="E21" i="42"/>
  <c r="D21" i="42"/>
  <c r="C18" i="42"/>
  <c r="D42" i="42" s="1"/>
  <c r="F42" i="42" s="1"/>
  <c r="J17" i="42"/>
  <c r="J34" i="42" s="1"/>
  <c r="F13" i="42"/>
  <c r="F30" i="42" s="1"/>
  <c r="E12" i="42"/>
  <c r="E29" i="42" s="1"/>
  <c r="D11" i="42"/>
  <c r="D28" i="42" s="1"/>
  <c r="D9" i="42"/>
  <c r="D26" i="42" s="1"/>
  <c r="J7" i="42"/>
  <c r="J24" i="42" s="1"/>
  <c r="D7" i="42"/>
  <c r="D24" i="42" s="1"/>
  <c r="F5" i="42"/>
  <c r="F22" i="42" s="1"/>
  <c r="I35" i="43" l="1"/>
  <c r="H35" i="43"/>
  <c r="D35" i="43"/>
  <c r="G35" i="43"/>
  <c r="J35" i="43"/>
  <c r="E35" i="43"/>
  <c r="F35" i="43"/>
  <c r="F16" i="42"/>
  <c r="F33" i="42" s="1"/>
  <c r="D6" i="42"/>
  <c r="D23" i="42" s="1"/>
  <c r="D10" i="42"/>
  <c r="D27" i="42" s="1"/>
  <c r="H14" i="42"/>
  <c r="H31" i="42" s="1"/>
  <c r="E6" i="42"/>
  <c r="E23" i="42" s="1"/>
  <c r="E7" i="42"/>
  <c r="E24" i="42" s="1"/>
  <c r="F8" i="42"/>
  <c r="F25" i="42" s="1"/>
  <c r="F9" i="42"/>
  <c r="F26" i="42" s="1"/>
  <c r="E10" i="42"/>
  <c r="E27" i="42" s="1"/>
  <c r="F11" i="42"/>
  <c r="F28" i="42" s="1"/>
  <c r="F12" i="42"/>
  <c r="F29" i="42" s="1"/>
  <c r="G13" i="42"/>
  <c r="G30" i="42" s="1"/>
  <c r="E15" i="42"/>
  <c r="E32" i="42" s="1"/>
  <c r="I16" i="42"/>
  <c r="I33" i="42" s="1"/>
  <c r="G5" i="42"/>
  <c r="G22" i="42" s="1"/>
  <c r="G6" i="42"/>
  <c r="G23" i="42" s="1"/>
  <c r="H7" i="42"/>
  <c r="H24" i="42" s="1"/>
  <c r="G8" i="42"/>
  <c r="G25" i="42" s="1"/>
  <c r="G9" i="42"/>
  <c r="G26" i="42" s="1"/>
  <c r="H10" i="42"/>
  <c r="H27" i="42" s="1"/>
  <c r="H11" i="42"/>
  <c r="H28" i="42" s="1"/>
  <c r="G12" i="42"/>
  <c r="G29" i="42" s="1"/>
  <c r="D14" i="42"/>
  <c r="D31" i="42" s="1"/>
  <c r="H15" i="42"/>
  <c r="H32" i="42" s="1"/>
  <c r="J16" i="42"/>
  <c r="J33" i="42" s="1"/>
  <c r="H5" i="42"/>
  <c r="H22" i="42" s="1"/>
  <c r="I6" i="42"/>
  <c r="I23" i="42" s="1"/>
  <c r="I7" i="42"/>
  <c r="I24" i="42" s="1"/>
  <c r="I8" i="42"/>
  <c r="I25" i="42" s="1"/>
  <c r="J9" i="42"/>
  <c r="J26" i="42" s="1"/>
  <c r="I10" i="42"/>
  <c r="I27" i="42" s="1"/>
  <c r="I11" i="42"/>
  <c r="I28" i="42" s="1"/>
  <c r="J12" i="42"/>
  <c r="J29" i="42" s="1"/>
  <c r="G14" i="42"/>
  <c r="G31" i="42" s="1"/>
  <c r="I15" i="42"/>
  <c r="I32" i="42" s="1"/>
  <c r="G17" i="42"/>
  <c r="G34" i="42" s="1"/>
  <c r="D39" i="42"/>
  <c r="F39" i="42" s="1"/>
  <c r="I17" i="42"/>
  <c r="I34" i="42" s="1"/>
  <c r="E17" i="42"/>
  <c r="E34" i="42" s="1"/>
  <c r="H16" i="42"/>
  <c r="H33" i="42" s="1"/>
  <c r="D16" i="42"/>
  <c r="D33" i="42" s="1"/>
  <c r="G15" i="42"/>
  <c r="G32" i="42" s="1"/>
  <c r="J14" i="42"/>
  <c r="J31" i="42" s="1"/>
  <c r="F14" i="42"/>
  <c r="F31" i="42" s="1"/>
  <c r="I13" i="42"/>
  <c r="I30" i="42" s="1"/>
  <c r="E13" i="42"/>
  <c r="E30" i="42" s="1"/>
  <c r="H12" i="42"/>
  <c r="H29" i="42" s="1"/>
  <c r="D12" i="42"/>
  <c r="D29" i="42" s="1"/>
  <c r="G11" i="42"/>
  <c r="G28" i="42" s="1"/>
  <c r="J10" i="42"/>
  <c r="J27" i="42" s="1"/>
  <c r="F10" i="42"/>
  <c r="F27" i="42" s="1"/>
  <c r="I9" i="42"/>
  <c r="I26" i="42" s="1"/>
  <c r="E9" i="42"/>
  <c r="E26" i="42" s="1"/>
  <c r="H8" i="42"/>
  <c r="H25" i="42" s="1"/>
  <c r="D8" i="42"/>
  <c r="D25" i="42" s="1"/>
  <c r="G7" i="42"/>
  <c r="G24" i="42" s="1"/>
  <c r="J6" i="42"/>
  <c r="J23" i="42" s="1"/>
  <c r="F6" i="42"/>
  <c r="F23" i="42" s="1"/>
  <c r="I5" i="42"/>
  <c r="I22" i="42" s="1"/>
  <c r="E5" i="42"/>
  <c r="E22" i="42" s="1"/>
  <c r="D40" i="42"/>
  <c r="F40" i="42" s="1"/>
  <c r="H17" i="42"/>
  <c r="H34" i="42" s="1"/>
  <c r="D17" i="42"/>
  <c r="D34" i="42" s="1"/>
  <c r="G16" i="42"/>
  <c r="G33" i="42" s="1"/>
  <c r="J15" i="42"/>
  <c r="J32" i="42" s="1"/>
  <c r="F15" i="42"/>
  <c r="F32" i="42" s="1"/>
  <c r="I14" i="42"/>
  <c r="I31" i="42" s="1"/>
  <c r="E14" i="42"/>
  <c r="E31" i="42" s="1"/>
  <c r="H13" i="42"/>
  <c r="H30" i="42" s="1"/>
  <c r="D13" i="42"/>
  <c r="D30" i="42" s="1"/>
  <c r="D41" i="42"/>
  <c r="F41" i="42" s="1"/>
  <c r="D5" i="42"/>
  <c r="D22" i="42" s="1"/>
  <c r="J5" i="42"/>
  <c r="J22" i="42" s="1"/>
  <c r="H6" i="42"/>
  <c r="H23" i="42" s="1"/>
  <c r="F7" i="42"/>
  <c r="F24" i="42" s="1"/>
  <c r="E8" i="42"/>
  <c r="E25" i="42" s="1"/>
  <c r="J8" i="42"/>
  <c r="J25" i="42" s="1"/>
  <c r="H9" i="42"/>
  <c r="H26" i="42" s="1"/>
  <c r="G10" i="42"/>
  <c r="G27" i="42" s="1"/>
  <c r="E11" i="42"/>
  <c r="E28" i="42" s="1"/>
  <c r="J11" i="42"/>
  <c r="J28" i="42" s="1"/>
  <c r="I12" i="42"/>
  <c r="I29" i="42" s="1"/>
  <c r="J13" i="42"/>
  <c r="J30" i="42" s="1"/>
  <c r="D15" i="42"/>
  <c r="D32" i="42" s="1"/>
  <c r="E16" i="42"/>
  <c r="E33" i="42" s="1"/>
  <c r="F17" i="42"/>
  <c r="F34" i="42" s="1"/>
  <c r="C35" i="42"/>
  <c r="D39" i="41"/>
  <c r="C42" i="41"/>
  <c r="C41" i="41"/>
  <c r="C40" i="41"/>
  <c r="C39" i="41"/>
  <c r="C34" i="41"/>
  <c r="A34" i="41"/>
  <c r="C33" i="41"/>
  <c r="A33" i="41"/>
  <c r="C32" i="41"/>
  <c r="A32" i="41"/>
  <c r="C31" i="41"/>
  <c r="A31" i="41"/>
  <c r="C30" i="41"/>
  <c r="A30" i="41"/>
  <c r="C29" i="41"/>
  <c r="A29" i="41"/>
  <c r="C28" i="41"/>
  <c r="A28" i="41"/>
  <c r="C27" i="41"/>
  <c r="A27" i="41"/>
  <c r="C26" i="41"/>
  <c r="A26" i="41"/>
  <c r="C25" i="41"/>
  <c r="A25" i="41"/>
  <c r="C24" i="41"/>
  <c r="A24" i="41"/>
  <c r="C23" i="41"/>
  <c r="A23" i="41"/>
  <c r="C22" i="41"/>
  <c r="A22" i="41"/>
  <c r="J21" i="41"/>
  <c r="I21" i="41"/>
  <c r="H21" i="41"/>
  <c r="G21" i="41"/>
  <c r="F21" i="41"/>
  <c r="E21" i="41"/>
  <c r="D21" i="41"/>
  <c r="C18" i="41"/>
  <c r="J16" i="41" s="1"/>
  <c r="J33" i="41" s="1"/>
  <c r="G17" i="41"/>
  <c r="G34" i="41" s="1"/>
  <c r="F15" i="41"/>
  <c r="F32" i="41" s="1"/>
  <c r="G13" i="41"/>
  <c r="G30" i="41" s="1"/>
  <c r="F12" i="41"/>
  <c r="F29" i="41" s="1"/>
  <c r="I10" i="41"/>
  <c r="I27" i="41" s="1"/>
  <c r="G9" i="41"/>
  <c r="G26" i="41" s="1"/>
  <c r="I7" i="41"/>
  <c r="I24" i="41" s="1"/>
  <c r="F7" i="41"/>
  <c r="F24" i="41" s="1"/>
  <c r="G35" i="42" l="1"/>
  <c r="H35" i="42"/>
  <c r="F35" i="42"/>
  <c r="I35" i="42"/>
  <c r="J35" i="42"/>
  <c r="D35" i="42"/>
  <c r="E35" i="42"/>
  <c r="E6" i="41"/>
  <c r="E23" i="41" s="1"/>
  <c r="H10" i="41"/>
  <c r="H27" i="41" s="1"/>
  <c r="D14" i="41"/>
  <c r="D31" i="41" s="1"/>
  <c r="D6" i="41"/>
  <c r="D23" i="41" s="1"/>
  <c r="J8" i="41"/>
  <c r="J25" i="41" s="1"/>
  <c r="J11" i="41"/>
  <c r="J28" i="41" s="1"/>
  <c r="E15" i="41"/>
  <c r="E32" i="41" s="1"/>
  <c r="D40" i="41"/>
  <c r="F40" i="41" s="1"/>
  <c r="D5" i="41"/>
  <c r="D22" i="41" s="1"/>
  <c r="H6" i="41"/>
  <c r="H23" i="41" s="1"/>
  <c r="F8" i="41"/>
  <c r="F25" i="41" s="1"/>
  <c r="H9" i="41"/>
  <c r="H26" i="41" s="1"/>
  <c r="E11" i="41"/>
  <c r="E28" i="41" s="1"/>
  <c r="J12" i="41"/>
  <c r="J29" i="41" s="1"/>
  <c r="E14" i="41"/>
  <c r="E31" i="41" s="1"/>
  <c r="I15" i="41"/>
  <c r="I32" i="41" s="1"/>
  <c r="G5" i="41"/>
  <c r="G22" i="41" s="1"/>
  <c r="E7" i="41"/>
  <c r="E24" i="41" s="1"/>
  <c r="G8" i="41"/>
  <c r="G25" i="41" s="1"/>
  <c r="D10" i="41"/>
  <c r="D27" i="41" s="1"/>
  <c r="I11" i="41"/>
  <c r="I28" i="41" s="1"/>
  <c r="D13" i="41"/>
  <c r="D30" i="41" s="1"/>
  <c r="H14" i="41"/>
  <c r="H31" i="41" s="1"/>
  <c r="D41" i="41"/>
  <c r="F41" i="41" s="1"/>
  <c r="D42" i="41"/>
  <c r="F42" i="41" s="1"/>
  <c r="J17" i="41"/>
  <c r="J34" i="41" s="1"/>
  <c r="F17" i="41"/>
  <c r="F34" i="41" s="1"/>
  <c r="I16" i="41"/>
  <c r="I33" i="41" s="1"/>
  <c r="E16" i="41"/>
  <c r="E33" i="41" s="1"/>
  <c r="H15" i="41"/>
  <c r="H32" i="41" s="1"/>
  <c r="D15" i="41"/>
  <c r="D32" i="41" s="1"/>
  <c r="G14" i="41"/>
  <c r="G31" i="41" s="1"/>
  <c r="J13" i="41"/>
  <c r="J30" i="41" s="1"/>
  <c r="F13" i="41"/>
  <c r="F30" i="41" s="1"/>
  <c r="I12" i="41"/>
  <c r="I29" i="41" s="1"/>
  <c r="E12" i="41"/>
  <c r="E29" i="41" s="1"/>
  <c r="H11" i="41"/>
  <c r="H28" i="41" s="1"/>
  <c r="D11" i="41"/>
  <c r="D28" i="41" s="1"/>
  <c r="G10" i="41"/>
  <c r="G27" i="41" s="1"/>
  <c r="J9" i="41"/>
  <c r="J26" i="41" s="1"/>
  <c r="F9" i="41"/>
  <c r="F26" i="41" s="1"/>
  <c r="I8" i="41"/>
  <c r="I25" i="41" s="1"/>
  <c r="E8" i="41"/>
  <c r="E25" i="41" s="1"/>
  <c r="H7" i="41"/>
  <c r="H24" i="41" s="1"/>
  <c r="D7" i="41"/>
  <c r="D24" i="41" s="1"/>
  <c r="G6" i="41"/>
  <c r="G23" i="41" s="1"/>
  <c r="J5" i="41"/>
  <c r="J22" i="41" s="1"/>
  <c r="F5" i="41"/>
  <c r="F22" i="41" s="1"/>
  <c r="F39" i="41"/>
  <c r="I17" i="41"/>
  <c r="I34" i="41" s="1"/>
  <c r="E17" i="41"/>
  <c r="E34" i="41" s="1"/>
  <c r="H16" i="41"/>
  <c r="H33" i="41" s="1"/>
  <c r="D16" i="41"/>
  <c r="D33" i="41" s="1"/>
  <c r="G15" i="41"/>
  <c r="G32" i="41" s="1"/>
  <c r="J14" i="41"/>
  <c r="J31" i="41" s="1"/>
  <c r="F14" i="41"/>
  <c r="F31" i="41" s="1"/>
  <c r="I13" i="41"/>
  <c r="I30" i="41" s="1"/>
  <c r="E13" i="41"/>
  <c r="E30" i="41" s="1"/>
  <c r="H12" i="41"/>
  <c r="H29" i="41" s="1"/>
  <c r="D12" i="41"/>
  <c r="D29" i="41" s="1"/>
  <c r="G11" i="41"/>
  <c r="G28" i="41" s="1"/>
  <c r="J10" i="41"/>
  <c r="J27" i="41" s="1"/>
  <c r="F10" i="41"/>
  <c r="F27" i="41" s="1"/>
  <c r="I9" i="41"/>
  <c r="I26" i="41" s="1"/>
  <c r="E9" i="41"/>
  <c r="E26" i="41" s="1"/>
  <c r="H8" i="41"/>
  <c r="H25" i="41" s="1"/>
  <c r="D8" i="41"/>
  <c r="D25" i="41" s="1"/>
  <c r="G7" i="41"/>
  <c r="G24" i="41" s="1"/>
  <c r="J6" i="41"/>
  <c r="J23" i="41" s="1"/>
  <c r="F6" i="41"/>
  <c r="F23" i="41" s="1"/>
  <c r="I5" i="41"/>
  <c r="I22" i="41" s="1"/>
  <c r="E5" i="41"/>
  <c r="E22" i="41" s="1"/>
  <c r="H17" i="41"/>
  <c r="H34" i="41" s="1"/>
  <c r="D17" i="41"/>
  <c r="D34" i="41" s="1"/>
  <c r="G16" i="41"/>
  <c r="G33" i="41" s="1"/>
  <c r="J15" i="41"/>
  <c r="J32" i="41" s="1"/>
  <c r="H5" i="41"/>
  <c r="H22" i="41" s="1"/>
  <c r="I6" i="41"/>
  <c r="I23" i="41" s="1"/>
  <c r="J7" i="41"/>
  <c r="J24" i="41" s="1"/>
  <c r="D9" i="41"/>
  <c r="D26" i="41" s="1"/>
  <c r="E10" i="41"/>
  <c r="E27" i="41" s="1"/>
  <c r="F11" i="41"/>
  <c r="F28" i="41" s="1"/>
  <c r="G12" i="41"/>
  <c r="G29" i="41" s="1"/>
  <c r="H13" i="41"/>
  <c r="H30" i="41" s="1"/>
  <c r="I14" i="41"/>
  <c r="I31" i="41" s="1"/>
  <c r="F16" i="41"/>
  <c r="F33" i="41" s="1"/>
  <c r="C35" i="41"/>
  <c r="C42" i="40"/>
  <c r="C41" i="40"/>
  <c r="C40" i="40"/>
  <c r="C39" i="40"/>
  <c r="C34" i="40"/>
  <c r="A34" i="40"/>
  <c r="C33" i="40"/>
  <c r="A33" i="40"/>
  <c r="C32" i="40"/>
  <c r="A32" i="40"/>
  <c r="C31" i="40"/>
  <c r="A31" i="40"/>
  <c r="C30" i="40"/>
  <c r="A30" i="40"/>
  <c r="C29" i="40"/>
  <c r="A29" i="40"/>
  <c r="C28" i="40"/>
  <c r="A28" i="40"/>
  <c r="C27" i="40"/>
  <c r="A27" i="40"/>
  <c r="C26" i="40"/>
  <c r="A26" i="40"/>
  <c r="C25" i="40"/>
  <c r="A25" i="40"/>
  <c r="C24" i="40"/>
  <c r="A24" i="40"/>
  <c r="C23" i="40"/>
  <c r="A23" i="40"/>
  <c r="C22" i="40"/>
  <c r="A22" i="40"/>
  <c r="J21" i="40"/>
  <c r="I21" i="40"/>
  <c r="H21" i="40"/>
  <c r="G21" i="40"/>
  <c r="F21" i="40"/>
  <c r="E21" i="40"/>
  <c r="D21" i="40"/>
  <c r="C18" i="40"/>
  <c r="D42" i="40" s="1"/>
  <c r="F42" i="40" s="1"/>
  <c r="J16" i="40"/>
  <c r="J33" i="40" s="1"/>
  <c r="I15" i="40"/>
  <c r="I32" i="40" s="1"/>
  <c r="G13" i="40"/>
  <c r="G30" i="40" s="1"/>
  <c r="F12" i="40"/>
  <c r="F29" i="40" s="1"/>
  <c r="E11" i="40"/>
  <c r="E28" i="40" s="1"/>
  <c r="J8" i="40"/>
  <c r="J25" i="40" s="1"/>
  <c r="I7" i="40"/>
  <c r="I24" i="40" s="1"/>
  <c r="H6" i="40"/>
  <c r="H23" i="40" s="1"/>
  <c r="C42" i="39"/>
  <c r="C41" i="39"/>
  <c r="C40" i="39"/>
  <c r="C39" i="39"/>
  <c r="C34" i="39"/>
  <c r="A34" i="39"/>
  <c r="C33" i="39"/>
  <c r="A33" i="39"/>
  <c r="C32" i="39"/>
  <c r="A32" i="39"/>
  <c r="C31" i="39"/>
  <c r="A31" i="39"/>
  <c r="C30" i="39"/>
  <c r="A30" i="39"/>
  <c r="C29" i="39"/>
  <c r="A29" i="39"/>
  <c r="C28" i="39"/>
  <c r="A28" i="39"/>
  <c r="C27" i="39"/>
  <c r="A27" i="39"/>
  <c r="C26" i="39"/>
  <c r="A26" i="39"/>
  <c r="C25" i="39"/>
  <c r="A25" i="39"/>
  <c r="C24" i="39"/>
  <c r="A24" i="39"/>
  <c r="C23" i="39"/>
  <c r="A23" i="39"/>
  <c r="C22" i="39"/>
  <c r="A22" i="39"/>
  <c r="J21" i="39"/>
  <c r="I21" i="39"/>
  <c r="H21" i="39"/>
  <c r="G21" i="39"/>
  <c r="F21" i="39"/>
  <c r="E21" i="39"/>
  <c r="D21" i="39"/>
  <c r="C19" i="39"/>
  <c r="J18" i="39" s="1"/>
  <c r="J34" i="39" s="1"/>
  <c r="G35" i="41" l="1"/>
  <c r="E35" i="41"/>
  <c r="H35" i="41"/>
  <c r="D35" i="41"/>
  <c r="F35" i="41"/>
  <c r="I35" i="41"/>
  <c r="J35" i="41"/>
  <c r="G5" i="40"/>
  <c r="G22" i="40" s="1"/>
  <c r="D10" i="40"/>
  <c r="D27" i="40" s="1"/>
  <c r="H14" i="40"/>
  <c r="H31" i="40" s="1"/>
  <c r="C35" i="40"/>
  <c r="I5" i="40"/>
  <c r="I22" i="40" s="1"/>
  <c r="J6" i="40"/>
  <c r="J23" i="40" s="1"/>
  <c r="D8" i="40"/>
  <c r="D25" i="40" s="1"/>
  <c r="E9" i="40"/>
  <c r="E26" i="40" s="1"/>
  <c r="F10" i="40"/>
  <c r="F27" i="40" s="1"/>
  <c r="G11" i="40"/>
  <c r="G28" i="40" s="1"/>
  <c r="H12" i="40"/>
  <c r="H29" i="40" s="1"/>
  <c r="I13" i="40"/>
  <c r="I30" i="40" s="1"/>
  <c r="J14" i="40"/>
  <c r="J31" i="40" s="1"/>
  <c r="D16" i="40"/>
  <c r="D33" i="40" s="1"/>
  <c r="E17" i="40"/>
  <c r="E34" i="40" s="1"/>
  <c r="D6" i="40"/>
  <c r="D23" i="40" s="1"/>
  <c r="E7" i="40"/>
  <c r="E24" i="40" s="1"/>
  <c r="F8" i="40"/>
  <c r="F25" i="40" s="1"/>
  <c r="G9" i="40"/>
  <c r="G26" i="40" s="1"/>
  <c r="H10" i="40"/>
  <c r="H27" i="40" s="1"/>
  <c r="I11" i="40"/>
  <c r="I28" i="40" s="1"/>
  <c r="J12" i="40"/>
  <c r="J29" i="40" s="1"/>
  <c r="D14" i="40"/>
  <c r="D31" i="40" s="1"/>
  <c r="E15" i="40"/>
  <c r="E32" i="40" s="1"/>
  <c r="F16" i="40"/>
  <c r="F33" i="40" s="1"/>
  <c r="G17" i="40"/>
  <c r="G34" i="40" s="1"/>
  <c r="E5" i="40"/>
  <c r="E22" i="40" s="1"/>
  <c r="F6" i="40"/>
  <c r="F23" i="40" s="1"/>
  <c r="G7" i="40"/>
  <c r="G24" i="40" s="1"/>
  <c r="H8" i="40"/>
  <c r="H25" i="40" s="1"/>
  <c r="I9" i="40"/>
  <c r="I26" i="40" s="1"/>
  <c r="J10" i="40"/>
  <c r="J27" i="40" s="1"/>
  <c r="D12" i="40"/>
  <c r="D29" i="40" s="1"/>
  <c r="E13" i="40"/>
  <c r="E30" i="40" s="1"/>
  <c r="F14" i="40"/>
  <c r="F31" i="40" s="1"/>
  <c r="G15" i="40"/>
  <c r="G32" i="40" s="1"/>
  <c r="H16" i="40"/>
  <c r="H33" i="40" s="1"/>
  <c r="I17" i="40"/>
  <c r="I34" i="40" s="1"/>
  <c r="D41" i="40"/>
  <c r="F41" i="40" s="1"/>
  <c r="D5" i="40"/>
  <c r="D22" i="40" s="1"/>
  <c r="H5" i="40"/>
  <c r="H22" i="40" s="1"/>
  <c r="E6" i="40"/>
  <c r="E23" i="40" s="1"/>
  <c r="I6" i="40"/>
  <c r="I23" i="40" s="1"/>
  <c r="F7" i="40"/>
  <c r="F24" i="40" s="1"/>
  <c r="J7" i="40"/>
  <c r="J24" i="40" s="1"/>
  <c r="G8" i="40"/>
  <c r="G25" i="40" s="1"/>
  <c r="D9" i="40"/>
  <c r="D26" i="40" s="1"/>
  <c r="H9" i="40"/>
  <c r="H26" i="40" s="1"/>
  <c r="E10" i="40"/>
  <c r="E27" i="40" s="1"/>
  <c r="I10" i="40"/>
  <c r="I27" i="40" s="1"/>
  <c r="F11" i="40"/>
  <c r="F28" i="40" s="1"/>
  <c r="J11" i="40"/>
  <c r="J28" i="40" s="1"/>
  <c r="G12" i="40"/>
  <c r="G29" i="40" s="1"/>
  <c r="D13" i="40"/>
  <c r="D30" i="40" s="1"/>
  <c r="H13" i="40"/>
  <c r="H30" i="40" s="1"/>
  <c r="E14" i="40"/>
  <c r="E31" i="40" s="1"/>
  <c r="I14" i="40"/>
  <c r="I31" i="40" s="1"/>
  <c r="F15" i="40"/>
  <c r="F32" i="40" s="1"/>
  <c r="J15" i="40"/>
  <c r="J32" i="40" s="1"/>
  <c r="G16" i="40"/>
  <c r="G33" i="40" s="1"/>
  <c r="D17" i="40"/>
  <c r="D34" i="40" s="1"/>
  <c r="H17" i="40"/>
  <c r="H34" i="40" s="1"/>
  <c r="D40" i="40"/>
  <c r="F40" i="40" s="1"/>
  <c r="D39" i="40"/>
  <c r="F39" i="40" s="1"/>
  <c r="F5" i="40"/>
  <c r="F22" i="40" s="1"/>
  <c r="J5" i="40"/>
  <c r="J22" i="40" s="1"/>
  <c r="G6" i="40"/>
  <c r="G23" i="40" s="1"/>
  <c r="D7" i="40"/>
  <c r="D24" i="40" s="1"/>
  <c r="H7" i="40"/>
  <c r="H24" i="40" s="1"/>
  <c r="E8" i="40"/>
  <c r="E25" i="40" s="1"/>
  <c r="I8" i="40"/>
  <c r="I25" i="40" s="1"/>
  <c r="F9" i="40"/>
  <c r="F26" i="40" s="1"/>
  <c r="J9" i="40"/>
  <c r="J26" i="40" s="1"/>
  <c r="G10" i="40"/>
  <c r="G27" i="40" s="1"/>
  <c r="D11" i="40"/>
  <c r="D28" i="40" s="1"/>
  <c r="H11" i="40"/>
  <c r="H28" i="40" s="1"/>
  <c r="E12" i="40"/>
  <c r="E29" i="40" s="1"/>
  <c r="I12" i="40"/>
  <c r="I29" i="40" s="1"/>
  <c r="F13" i="40"/>
  <c r="F30" i="40" s="1"/>
  <c r="J13" i="40"/>
  <c r="J30" i="40" s="1"/>
  <c r="G14" i="40"/>
  <c r="G31" i="40" s="1"/>
  <c r="D15" i="40"/>
  <c r="D32" i="40" s="1"/>
  <c r="H15" i="40"/>
  <c r="H32" i="40" s="1"/>
  <c r="E16" i="40"/>
  <c r="E33" i="40" s="1"/>
  <c r="I16" i="40"/>
  <c r="I33" i="40" s="1"/>
  <c r="F17" i="40"/>
  <c r="F34" i="40" s="1"/>
  <c r="J17" i="40"/>
  <c r="J34" i="40" s="1"/>
  <c r="E7" i="39"/>
  <c r="E23" i="39" s="1"/>
  <c r="G6" i="39"/>
  <c r="F12" i="39"/>
  <c r="F28" i="39" s="1"/>
  <c r="G12" i="39"/>
  <c r="G28" i="39" s="1"/>
  <c r="E8" i="39"/>
  <c r="E24" i="39" s="1"/>
  <c r="F13" i="39"/>
  <c r="F29" i="39" s="1"/>
  <c r="F9" i="39"/>
  <c r="F25" i="39" s="1"/>
  <c r="E16" i="39"/>
  <c r="E32" i="39" s="1"/>
  <c r="E11" i="39"/>
  <c r="E27" i="39" s="1"/>
  <c r="I17" i="39"/>
  <c r="I33" i="39" s="1"/>
  <c r="F6" i="39"/>
  <c r="F22" i="39" s="1"/>
  <c r="F10" i="39"/>
  <c r="F26" i="39" s="1"/>
  <c r="G14" i="39"/>
  <c r="G30" i="39" s="1"/>
  <c r="G22" i="39"/>
  <c r="G7" i="39"/>
  <c r="G23" i="39" s="1"/>
  <c r="H8" i="39"/>
  <c r="H24" i="39" s="1"/>
  <c r="G9" i="39"/>
  <c r="G25" i="39" s="1"/>
  <c r="G10" i="39"/>
  <c r="G26" i="39" s="1"/>
  <c r="H11" i="39"/>
  <c r="H27" i="39" s="1"/>
  <c r="H12" i="39"/>
  <c r="H28" i="39" s="1"/>
  <c r="G13" i="39"/>
  <c r="G29" i="39" s="1"/>
  <c r="D15" i="39"/>
  <c r="D31" i="39" s="1"/>
  <c r="H16" i="39"/>
  <c r="H32" i="39" s="1"/>
  <c r="J17" i="39"/>
  <c r="J33" i="39" s="1"/>
  <c r="H6" i="39"/>
  <c r="H22" i="39" s="1"/>
  <c r="I7" i="39"/>
  <c r="I23" i="39" s="1"/>
  <c r="I8" i="39"/>
  <c r="I24" i="39" s="1"/>
  <c r="I9" i="39"/>
  <c r="I25" i="39" s="1"/>
  <c r="J10" i="39"/>
  <c r="J26" i="39" s="1"/>
  <c r="I11" i="39"/>
  <c r="I27" i="39" s="1"/>
  <c r="I12" i="39"/>
  <c r="I28" i="39" s="1"/>
  <c r="J13" i="39"/>
  <c r="J29" i="39" s="1"/>
  <c r="G15" i="39"/>
  <c r="G31" i="39" s="1"/>
  <c r="I16" i="39"/>
  <c r="I32" i="39" s="1"/>
  <c r="G18" i="39"/>
  <c r="G34" i="39" s="1"/>
  <c r="D42" i="39"/>
  <c r="F42" i="39" s="1"/>
  <c r="D7" i="39"/>
  <c r="D23" i="39" s="1"/>
  <c r="D8" i="39"/>
  <c r="D24" i="39" s="1"/>
  <c r="J8" i="39"/>
  <c r="J24" i="39" s="1"/>
  <c r="D10" i="39"/>
  <c r="D26" i="39" s="1"/>
  <c r="D11" i="39"/>
  <c r="D27" i="39" s="1"/>
  <c r="D12" i="39"/>
  <c r="D28" i="39" s="1"/>
  <c r="E13" i="39"/>
  <c r="E29" i="39" s="1"/>
  <c r="F14" i="39"/>
  <c r="F30" i="39" s="1"/>
  <c r="H15" i="39"/>
  <c r="H31" i="39" s="1"/>
  <c r="F17" i="39"/>
  <c r="F33" i="39" s="1"/>
  <c r="D39" i="39"/>
  <c r="F39" i="39" s="1"/>
  <c r="I18" i="39"/>
  <c r="I34" i="39" s="1"/>
  <c r="E18" i="39"/>
  <c r="E34" i="39" s="1"/>
  <c r="H17" i="39"/>
  <c r="H33" i="39" s="1"/>
  <c r="D17" i="39"/>
  <c r="D33" i="39" s="1"/>
  <c r="G16" i="39"/>
  <c r="G32" i="39" s="1"/>
  <c r="J15" i="39"/>
  <c r="J31" i="39" s="1"/>
  <c r="F15" i="39"/>
  <c r="F31" i="39" s="1"/>
  <c r="I14" i="39"/>
  <c r="I30" i="39" s="1"/>
  <c r="E14" i="39"/>
  <c r="E30" i="39" s="1"/>
  <c r="H13" i="39"/>
  <c r="H29" i="39" s="1"/>
  <c r="D13" i="39"/>
  <c r="D29" i="39" s="1"/>
  <c r="J11" i="39"/>
  <c r="J27" i="39" s="1"/>
  <c r="F11" i="39"/>
  <c r="F27" i="39" s="1"/>
  <c r="I10" i="39"/>
  <c r="I26" i="39" s="1"/>
  <c r="E10" i="39"/>
  <c r="E26" i="39" s="1"/>
  <c r="H9" i="39"/>
  <c r="H25" i="39" s="1"/>
  <c r="D9" i="39"/>
  <c r="D25" i="39" s="1"/>
  <c r="G8" i="39"/>
  <c r="G24" i="39" s="1"/>
  <c r="J7" i="39"/>
  <c r="J23" i="39" s="1"/>
  <c r="F7" i="39"/>
  <c r="F23" i="39" s="1"/>
  <c r="I6" i="39"/>
  <c r="I22" i="39" s="1"/>
  <c r="E6" i="39"/>
  <c r="E22" i="39" s="1"/>
  <c r="D40" i="39"/>
  <c r="F40" i="39" s="1"/>
  <c r="H18" i="39"/>
  <c r="H34" i="39" s="1"/>
  <c r="D18" i="39"/>
  <c r="D34" i="39" s="1"/>
  <c r="G17" i="39"/>
  <c r="G33" i="39" s="1"/>
  <c r="J16" i="39"/>
  <c r="J32" i="39" s="1"/>
  <c r="F16" i="39"/>
  <c r="F32" i="39" s="1"/>
  <c r="I15" i="39"/>
  <c r="I31" i="39" s="1"/>
  <c r="E15" i="39"/>
  <c r="E31" i="39" s="1"/>
  <c r="H14" i="39"/>
  <c r="H30" i="39" s="1"/>
  <c r="D14" i="39"/>
  <c r="D30" i="39" s="1"/>
  <c r="D41" i="39"/>
  <c r="F41" i="39" s="1"/>
  <c r="D6" i="39"/>
  <c r="D22" i="39" s="1"/>
  <c r="J6" i="39"/>
  <c r="J22" i="39" s="1"/>
  <c r="H7" i="39"/>
  <c r="H23" i="39" s="1"/>
  <c r="F8" i="39"/>
  <c r="F24" i="39" s="1"/>
  <c r="E9" i="39"/>
  <c r="E25" i="39" s="1"/>
  <c r="J9" i="39"/>
  <c r="J25" i="39" s="1"/>
  <c r="H10" i="39"/>
  <c r="H26" i="39" s="1"/>
  <c r="G11" i="39"/>
  <c r="G27" i="39" s="1"/>
  <c r="E12" i="39"/>
  <c r="E28" i="39" s="1"/>
  <c r="J12" i="39"/>
  <c r="J28" i="39" s="1"/>
  <c r="I13" i="39"/>
  <c r="I29" i="39" s="1"/>
  <c r="J14" i="39"/>
  <c r="J30" i="39" s="1"/>
  <c r="D16" i="39"/>
  <c r="D32" i="39" s="1"/>
  <c r="E17" i="39"/>
  <c r="E33" i="39" s="1"/>
  <c r="F18" i="39"/>
  <c r="F34" i="39" s="1"/>
  <c r="C35" i="39"/>
  <c r="C44" i="38"/>
  <c r="C43" i="38"/>
  <c r="C42" i="38"/>
  <c r="C41" i="38"/>
  <c r="C40" i="38"/>
  <c r="C39" i="38"/>
  <c r="C34" i="38"/>
  <c r="A34" i="38"/>
  <c r="C33" i="38"/>
  <c r="A33" i="38"/>
  <c r="C32" i="38"/>
  <c r="A32" i="38"/>
  <c r="C31" i="38"/>
  <c r="A31" i="38"/>
  <c r="C30" i="38"/>
  <c r="A30" i="38"/>
  <c r="C29" i="38"/>
  <c r="A29" i="38"/>
  <c r="C28" i="38"/>
  <c r="A28" i="38"/>
  <c r="C27" i="38"/>
  <c r="A27" i="38"/>
  <c r="C26" i="38"/>
  <c r="A26" i="38"/>
  <c r="C25" i="38"/>
  <c r="A25" i="38"/>
  <c r="C24" i="38"/>
  <c r="A24" i="38"/>
  <c r="C23" i="38"/>
  <c r="A23" i="38"/>
  <c r="C22" i="38"/>
  <c r="A22" i="38"/>
  <c r="J21" i="38"/>
  <c r="I21" i="38"/>
  <c r="H21" i="38"/>
  <c r="G21" i="38"/>
  <c r="F21" i="38"/>
  <c r="E21" i="38"/>
  <c r="D21" i="38"/>
  <c r="C19" i="38"/>
  <c r="J18" i="38" s="1"/>
  <c r="J34" i="38" s="1"/>
  <c r="C42" i="36"/>
  <c r="C41" i="36"/>
  <c r="C40" i="36"/>
  <c r="C39" i="36"/>
  <c r="C34" i="36"/>
  <c r="A34" i="36"/>
  <c r="C33" i="36"/>
  <c r="A33" i="36"/>
  <c r="C32" i="36"/>
  <c r="A32" i="36"/>
  <c r="C31" i="36"/>
  <c r="A31" i="36"/>
  <c r="C30" i="36"/>
  <c r="A30" i="36"/>
  <c r="C29" i="36"/>
  <c r="A29" i="36"/>
  <c r="C28" i="36"/>
  <c r="A28" i="36"/>
  <c r="C27" i="36"/>
  <c r="A27" i="36"/>
  <c r="C26" i="36"/>
  <c r="A26" i="36"/>
  <c r="C25" i="36"/>
  <c r="A25" i="36"/>
  <c r="C24" i="36"/>
  <c r="A24" i="36"/>
  <c r="C23" i="36"/>
  <c r="A23" i="36"/>
  <c r="C22" i="36"/>
  <c r="A22" i="36"/>
  <c r="J21" i="36"/>
  <c r="I21" i="36"/>
  <c r="H21" i="36"/>
  <c r="G21" i="36"/>
  <c r="F21" i="36"/>
  <c r="E21" i="36"/>
  <c r="D21" i="36"/>
  <c r="C18" i="36"/>
  <c r="I15" i="36" s="1"/>
  <c r="I32" i="36" s="1"/>
  <c r="G17" i="36"/>
  <c r="G34" i="36" s="1"/>
  <c r="E14" i="36"/>
  <c r="E31" i="36" s="1"/>
  <c r="D14" i="36"/>
  <c r="D31" i="36" s="1"/>
  <c r="J11" i="36"/>
  <c r="J28" i="36" s="1"/>
  <c r="I11" i="36"/>
  <c r="I28" i="36" s="1"/>
  <c r="H9" i="36"/>
  <c r="H26" i="36" s="1"/>
  <c r="G9" i="36"/>
  <c r="G26" i="36" s="1"/>
  <c r="F7" i="36"/>
  <c r="F24" i="36" s="1"/>
  <c r="E7" i="36"/>
  <c r="E24" i="36" s="1"/>
  <c r="D5" i="36"/>
  <c r="D22" i="36" s="1"/>
  <c r="G35" i="40" l="1"/>
  <c r="I35" i="40"/>
  <c r="E35" i="40"/>
  <c r="F35" i="40"/>
  <c r="H35" i="40"/>
  <c r="J35" i="40"/>
  <c r="D35" i="40"/>
  <c r="F35" i="39"/>
  <c r="G35" i="39"/>
  <c r="H35" i="39"/>
  <c r="I35" i="39"/>
  <c r="J35" i="39"/>
  <c r="D35" i="39"/>
  <c r="E35" i="39"/>
  <c r="H7" i="38"/>
  <c r="H23" i="38" s="1"/>
  <c r="H11" i="38"/>
  <c r="H27" i="38" s="1"/>
  <c r="I12" i="38"/>
  <c r="I28" i="38" s="1"/>
  <c r="I17" i="38"/>
  <c r="I33" i="38" s="1"/>
  <c r="H8" i="38"/>
  <c r="H24" i="38" s="1"/>
  <c r="I13" i="38"/>
  <c r="I29" i="38" s="1"/>
  <c r="I9" i="38"/>
  <c r="I25" i="38" s="1"/>
  <c r="E16" i="38"/>
  <c r="E32" i="38" s="1"/>
  <c r="D40" i="38"/>
  <c r="F40" i="38" s="1"/>
  <c r="H6" i="38"/>
  <c r="H22" i="38" s="1"/>
  <c r="H10" i="38"/>
  <c r="H26" i="38" s="1"/>
  <c r="H14" i="38"/>
  <c r="H30" i="38" s="1"/>
  <c r="J6" i="38"/>
  <c r="J22" i="38" s="1"/>
  <c r="I7" i="38"/>
  <c r="I23" i="38" s="1"/>
  <c r="J8" i="38"/>
  <c r="J24" i="38" s="1"/>
  <c r="J9" i="38"/>
  <c r="J25" i="38" s="1"/>
  <c r="J10" i="38"/>
  <c r="J26" i="38" s="1"/>
  <c r="D12" i="38"/>
  <c r="D28" i="38" s="1"/>
  <c r="J12" i="38"/>
  <c r="J28" i="38" s="1"/>
  <c r="J13" i="38"/>
  <c r="J29" i="38" s="1"/>
  <c r="D15" i="38"/>
  <c r="D31" i="38" s="1"/>
  <c r="H16" i="38"/>
  <c r="H32" i="38" s="1"/>
  <c r="J17" i="38"/>
  <c r="J33" i="38" s="1"/>
  <c r="D42" i="38"/>
  <c r="F42" i="38" s="1"/>
  <c r="D6" i="38"/>
  <c r="D22" i="38" s="1"/>
  <c r="D7" i="38"/>
  <c r="D23" i="38" s="1"/>
  <c r="E8" i="38"/>
  <c r="E24" i="38" s="1"/>
  <c r="E9" i="38"/>
  <c r="E25" i="38" s="1"/>
  <c r="D10" i="38"/>
  <c r="D26" i="38" s="1"/>
  <c r="E11" i="38"/>
  <c r="E27" i="38" s="1"/>
  <c r="E12" i="38"/>
  <c r="E28" i="38" s="1"/>
  <c r="E13" i="38"/>
  <c r="E29" i="38" s="1"/>
  <c r="F14" i="38"/>
  <c r="F30" i="38" s="1"/>
  <c r="G15" i="38"/>
  <c r="G31" i="38" s="1"/>
  <c r="I16" i="38"/>
  <c r="I32" i="38" s="1"/>
  <c r="G18" i="38"/>
  <c r="G34" i="38" s="1"/>
  <c r="F6" i="38"/>
  <c r="F22" i="38" s="1"/>
  <c r="G7" i="38"/>
  <c r="G23" i="38" s="1"/>
  <c r="F8" i="38"/>
  <c r="F24" i="38" s="1"/>
  <c r="F9" i="38"/>
  <c r="F25" i="38" s="1"/>
  <c r="G10" i="38"/>
  <c r="G26" i="38" s="1"/>
  <c r="G11" i="38"/>
  <c r="G27" i="38" s="1"/>
  <c r="F12" i="38"/>
  <c r="F28" i="38" s="1"/>
  <c r="G13" i="38"/>
  <c r="G29" i="38" s="1"/>
  <c r="G14" i="38"/>
  <c r="G30" i="38" s="1"/>
  <c r="H15" i="38"/>
  <c r="H31" i="38" s="1"/>
  <c r="F17" i="38"/>
  <c r="F33" i="38" s="1"/>
  <c r="D43" i="38"/>
  <c r="F43" i="38" s="1"/>
  <c r="D39" i="38"/>
  <c r="F39" i="38" s="1"/>
  <c r="I18" i="38"/>
  <c r="I34" i="38" s="1"/>
  <c r="E18" i="38"/>
  <c r="E34" i="38" s="1"/>
  <c r="H17" i="38"/>
  <c r="H33" i="38" s="1"/>
  <c r="D17" i="38"/>
  <c r="D33" i="38" s="1"/>
  <c r="G16" i="38"/>
  <c r="G32" i="38" s="1"/>
  <c r="J15" i="38"/>
  <c r="J31" i="38" s="1"/>
  <c r="F15" i="38"/>
  <c r="F31" i="38" s="1"/>
  <c r="I14" i="38"/>
  <c r="I30" i="38" s="1"/>
  <c r="E14" i="38"/>
  <c r="E30" i="38" s="1"/>
  <c r="H13" i="38"/>
  <c r="H29" i="38" s="1"/>
  <c r="D13" i="38"/>
  <c r="D29" i="38" s="1"/>
  <c r="G12" i="38"/>
  <c r="G28" i="38" s="1"/>
  <c r="J11" i="38"/>
  <c r="J27" i="38" s="1"/>
  <c r="F11" i="38"/>
  <c r="F27" i="38" s="1"/>
  <c r="I10" i="38"/>
  <c r="I26" i="38" s="1"/>
  <c r="E10" i="38"/>
  <c r="E26" i="38" s="1"/>
  <c r="H9" i="38"/>
  <c r="H25" i="38" s="1"/>
  <c r="D9" i="38"/>
  <c r="D25" i="38" s="1"/>
  <c r="G8" i="38"/>
  <c r="G24" i="38" s="1"/>
  <c r="J7" i="38"/>
  <c r="J23" i="38" s="1"/>
  <c r="F7" i="38"/>
  <c r="F23" i="38" s="1"/>
  <c r="I6" i="38"/>
  <c r="I22" i="38" s="1"/>
  <c r="E6" i="38"/>
  <c r="E22" i="38" s="1"/>
  <c r="D44" i="38"/>
  <c r="H18" i="38"/>
  <c r="H34" i="38" s="1"/>
  <c r="D18" i="38"/>
  <c r="D34" i="38" s="1"/>
  <c r="G17" i="38"/>
  <c r="G33" i="38" s="1"/>
  <c r="J16" i="38"/>
  <c r="J32" i="38" s="1"/>
  <c r="F16" i="38"/>
  <c r="F32" i="38" s="1"/>
  <c r="I15" i="38"/>
  <c r="I31" i="38" s="1"/>
  <c r="E15" i="38"/>
  <c r="E31" i="38" s="1"/>
  <c r="D41" i="38"/>
  <c r="F41" i="38" s="1"/>
  <c r="G6" i="38"/>
  <c r="G22" i="38" s="1"/>
  <c r="E7" i="38"/>
  <c r="E23" i="38" s="1"/>
  <c r="D8" i="38"/>
  <c r="D24" i="38" s="1"/>
  <c r="I8" i="38"/>
  <c r="I24" i="38" s="1"/>
  <c r="G9" i="38"/>
  <c r="G25" i="38" s="1"/>
  <c r="F10" i="38"/>
  <c r="F26" i="38" s="1"/>
  <c r="D11" i="38"/>
  <c r="D27" i="38" s="1"/>
  <c r="I11" i="38"/>
  <c r="I27" i="38" s="1"/>
  <c r="H12" i="38"/>
  <c r="H28" i="38" s="1"/>
  <c r="F13" i="38"/>
  <c r="F29" i="38" s="1"/>
  <c r="D14" i="38"/>
  <c r="D30" i="38" s="1"/>
  <c r="J14" i="38"/>
  <c r="J30" i="38" s="1"/>
  <c r="D16" i="38"/>
  <c r="D32" i="38" s="1"/>
  <c r="E17" i="38"/>
  <c r="E33" i="38" s="1"/>
  <c r="F18" i="38"/>
  <c r="F34" i="38" s="1"/>
  <c r="C35" i="38"/>
  <c r="D6" i="36"/>
  <c r="D23" i="36" s="1"/>
  <c r="F8" i="36"/>
  <c r="F25" i="36" s="1"/>
  <c r="H10" i="36"/>
  <c r="H27" i="36" s="1"/>
  <c r="J12" i="36"/>
  <c r="J29" i="36" s="1"/>
  <c r="E15" i="36"/>
  <c r="E32" i="36" s="1"/>
  <c r="E6" i="36"/>
  <c r="E23" i="36" s="1"/>
  <c r="G8" i="36"/>
  <c r="G25" i="36" s="1"/>
  <c r="I10" i="36"/>
  <c r="I27" i="36" s="1"/>
  <c r="D13" i="36"/>
  <c r="D30" i="36" s="1"/>
  <c r="D41" i="36"/>
  <c r="F41" i="36" s="1"/>
  <c r="D42" i="36"/>
  <c r="F42" i="36" s="1"/>
  <c r="J17" i="36"/>
  <c r="J34" i="36" s="1"/>
  <c r="F17" i="36"/>
  <c r="F34" i="36" s="1"/>
  <c r="I16" i="36"/>
  <c r="I33" i="36" s="1"/>
  <c r="E16" i="36"/>
  <c r="E33" i="36" s="1"/>
  <c r="H15" i="36"/>
  <c r="H32" i="36" s="1"/>
  <c r="D15" i="36"/>
  <c r="D32" i="36" s="1"/>
  <c r="G14" i="36"/>
  <c r="G31" i="36" s="1"/>
  <c r="J13" i="36"/>
  <c r="J30" i="36" s="1"/>
  <c r="F13" i="36"/>
  <c r="F30" i="36" s="1"/>
  <c r="I12" i="36"/>
  <c r="I29" i="36" s="1"/>
  <c r="E12" i="36"/>
  <c r="E29" i="36" s="1"/>
  <c r="H11" i="36"/>
  <c r="H28" i="36" s="1"/>
  <c r="D11" i="36"/>
  <c r="D28" i="36" s="1"/>
  <c r="G10" i="36"/>
  <c r="G27" i="36" s="1"/>
  <c r="J9" i="36"/>
  <c r="J26" i="36" s="1"/>
  <c r="F9" i="36"/>
  <c r="F26" i="36" s="1"/>
  <c r="I8" i="36"/>
  <c r="I25" i="36" s="1"/>
  <c r="E8" i="36"/>
  <c r="E25" i="36" s="1"/>
  <c r="H7" i="36"/>
  <c r="H24" i="36" s="1"/>
  <c r="D7" i="36"/>
  <c r="D24" i="36" s="1"/>
  <c r="G6" i="36"/>
  <c r="G23" i="36" s="1"/>
  <c r="J5" i="36"/>
  <c r="J22" i="36" s="1"/>
  <c r="F5" i="36"/>
  <c r="F22" i="36" s="1"/>
  <c r="D39" i="36"/>
  <c r="F39" i="36" s="1"/>
  <c r="I17" i="36"/>
  <c r="I34" i="36" s="1"/>
  <c r="E17" i="36"/>
  <c r="E34" i="36" s="1"/>
  <c r="H16" i="36"/>
  <c r="H33" i="36" s="1"/>
  <c r="D16" i="36"/>
  <c r="D33" i="36" s="1"/>
  <c r="G15" i="36"/>
  <c r="G32" i="36" s="1"/>
  <c r="J14" i="36"/>
  <c r="J31" i="36" s="1"/>
  <c r="F14" i="36"/>
  <c r="F31" i="36" s="1"/>
  <c r="I13" i="36"/>
  <c r="I30" i="36" s="1"/>
  <c r="E13" i="36"/>
  <c r="E30" i="36" s="1"/>
  <c r="H12" i="36"/>
  <c r="H29" i="36" s="1"/>
  <c r="D12" i="36"/>
  <c r="D29" i="36" s="1"/>
  <c r="G11" i="36"/>
  <c r="G28" i="36" s="1"/>
  <c r="J10" i="36"/>
  <c r="J27" i="36" s="1"/>
  <c r="F10" i="36"/>
  <c r="F27" i="36" s="1"/>
  <c r="I9" i="36"/>
  <c r="I26" i="36" s="1"/>
  <c r="E9" i="36"/>
  <c r="E26" i="36" s="1"/>
  <c r="H8" i="36"/>
  <c r="H25" i="36" s="1"/>
  <c r="D8" i="36"/>
  <c r="D25" i="36" s="1"/>
  <c r="G7" i="36"/>
  <c r="G24" i="36" s="1"/>
  <c r="J6" i="36"/>
  <c r="J23" i="36" s="1"/>
  <c r="F6" i="36"/>
  <c r="F23" i="36" s="1"/>
  <c r="I5" i="36"/>
  <c r="I22" i="36" s="1"/>
  <c r="E5" i="36"/>
  <c r="E22" i="36" s="1"/>
  <c r="H17" i="36"/>
  <c r="H34" i="36" s="1"/>
  <c r="D17" i="36"/>
  <c r="D34" i="36" s="1"/>
  <c r="G16" i="36"/>
  <c r="G33" i="36" s="1"/>
  <c r="J15" i="36"/>
  <c r="J32" i="36" s="1"/>
  <c r="F15" i="36"/>
  <c r="F32" i="36" s="1"/>
  <c r="D40" i="36"/>
  <c r="F40" i="36" s="1"/>
  <c r="G5" i="36"/>
  <c r="G22" i="36" s="1"/>
  <c r="H6" i="36"/>
  <c r="H23" i="36" s="1"/>
  <c r="I7" i="36"/>
  <c r="I24" i="36" s="1"/>
  <c r="J8" i="36"/>
  <c r="J25" i="36" s="1"/>
  <c r="D10" i="36"/>
  <c r="D27" i="36" s="1"/>
  <c r="E11" i="36"/>
  <c r="E28" i="36" s="1"/>
  <c r="F12" i="36"/>
  <c r="F29" i="36" s="1"/>
  <c r="G13" i="36"/>
  <c r="G30" i="36" s="1"/>
  <c r="H14" i="36"/>
  <c r="H31" i="36" s="1"/>
  <c r="F16" i="36"/>
  <c r="F33" i="36" s="1"/>
  <c r="H5" i="36"/>
  <c r="H22" i="36" s="1"/>
  <c r="I6" i="36"/>
  <c r="I23" i="36" s="1"/>
  <c r="J7" i="36"/>
  <c r="J24" i="36" s="1"/>
  <c r="D9" i="36"/>
  <c r="D26" i="36" s="1"/>
  <c r="E10" i="36"/>
  <c r="E27" i="36" s="1"/>
  <c r="F11" i="36"/>
  <c r="F28" i="36" s="1"/>
  <c r="G12" i="36"/>
  <c r="G29" i="36" s="1"/>
  <c r="H13" i="36"/>
  <c r="H30" i="36" s="1"/>
  <c r="I14" i="36"/>
  <c r="I31" i="36" s="1"/>
  <c r="J16" i="36"/>
  <c r="J33" i="36" s="1"/>
  <c r="C35" i="36"/>
  <c r="C42" i="35"/>
  <c r="C41" i="35"/>
  <c r="C40" i="35"/>
  <c r="C39" i="35"/>
  <c r="C38" i="35"/>
  <c r="C33" i="35"/>
  <c r="A33" i="35"/>
  <c r="C32" i="35"/>
  <c r="A32" i="35"/>
  <c r="C31" i="35"/>
  <c r="A31" i="35"/>
  <c r="C30" i="35"/>
  <c r="A30" i="35"/>
  <c r="C29" i="35"/>
  <c r="A29" i="35"/>
  <c r="C28" i="35"/>
  <c r="A28" i="35"/>
  <c r="C27" i="35"/>
  <c r="A27" i="35"/>
  <c r="C26" i="35"/>
  <c r="A26" i="35"/>
  <c r="C25" i="35"/>
  <c r="A25" i="35"/>
  <c r="C24" i="35"/>
  <c r="A24" i="35"/>
  <c r="C23" i="35"/>
  <c r="A23" i="35"/>
  <c r="C22" i="35"/>
  <c r="A22" i="35"/>
  <c r="C21" i="35"/>
  <c r="A21" i="35"/>
  <c r="J20" i="35"/>
  <c r="I20" i="35"/>
  <c r="H20" i="35"/>
  <c r="G20" i="35"/>
  <c r="F20" i="35"/>
  <c r="E20" i="35"/>
  <c r="D20" i="35"/>
  <c r="C18" i="35"/>
  <c r="J16" i="35" s="1"/>
  <c r="J32" i="35" s="1"/>
  <c r="H17" i="35"/>
  <c r="H33" i="35" s="1"/>
  <c r="J10" i="35"/>
  <c r="J26" i="35" s="1"/>
  <c r="G9" i="35"/>
  <c r="G25" i="35" s="1"/>
  <c r="G5" i="35"/>
  <c r="G21" i="35" s="1"/>
  <c r="H35" i="36" l="1"/>
  <c r="I35" i="36"/>
  <c r="E35" i="38"/>
  <c r="I35" i="38"/>
  <c r="H35" i="38"/>
  <c r="J35" i="38"/>
  <c r="F35" i="38"/>
  <c r="D35" i="38"/>
  <c r="G35" i="38"/>
  <c r="D35" i="36"/>
  <c r="G35" i="36"/>
  <c r="J35" i="36"/>
  <c r="E35" i="36"/>
  <c r="F35" i="36"/>
  <c r="I5" i="35"/>
  <c r="I21" i="35" s="1"/>
  <c r="F12" i="35"/>
  <c r="F28" i="35" s="1"/>
  <c r="J6" i="35"/>
  <c r="J22" i="35" s="1"/>
  <c r="I15" i="35"/>
  <c r="I31" i="35" s="1"/>
  <c r="D8" i="35"/>
  <c r="D24" i="35" s="1"/>
  <c r="G13" i="35"/>
  <c r="G29" i="35" s="1"/>
  <c r="D41" i="35"/>
  <c r="F41" i="35" s="1"/>
  <c r="E6" i="35"/>
  <c r="E22" i="35" s="1"/>
  <c r="F7" i="35"/>
  <c r="F23" i="35" s="1"/>
  <c r="J8" i="35"/>
  <c r="J24" i="35" s="1"/>
  <c r="E10" i="35"/>
  <c r="E26" i="35" s="1"/>
  <c r="G11" i="35"/>
  <c r="G27" i="35" s="1"/>
  <c r="D13" i="35"/>
  <c r="D29" i="35" s="1"/>
  <c r="H14" i="35"/>
  <c r="H30" i="35" s="1"/>
  <c r="G16" i="35"/>
  <c r="G32" i="35" s="1"/>
  <c r="D42" i="35"/>
  <c r="F42" i="35" s="1"/>
  <c r="E7" i="35"/>
  <c r="E23" i="35" s="1"/>
  <c r="G8" i="35"/>
  <c r="G24" i="35" s="1"/>
  <c r="D10" i="35"/>
  <c r="D26" i="35" s="1"/>
  <c r="E11" i="35"/>
  <c r="E27" i="35" s="1"/>
  <c r="G12" i="35"/>
  <c r="G28" i="35" s="1"/>
  <c r="E14" i="35"/>
  <c r="E30" i="35" s="1"/>
  <c r="F16" i="35"/>
  <c r="F32" i="35" s="1"/>
  <c r="D5" i="35"/>
  <c r="D21" i="35" s="1"/>
  <c r="F6" i="35"/>
  <c r="F22" i="35" s="1"/>
  <c r="J7" i="35"/>
  <c r="J23" i="35" s="1"/>
  <c r="E9" i="35"/>
  <c r="E25" i="35" s="1"/>
  <c r="F10" i="35"/>
  <c r="F26" i="35" s="1"/>
  <c r="J11" i="35"/>
  <c r="J27" i="35" s="1"/>
  <c r="E13" i="35"/>
  <c r="E29" i="35" s="1"/>
  <c r="E15" i="35"/>
  <c r="E31" i="35" s="1"/>
  <c r="G17" i="35"/>
  <c r="G33" i="35" s="1"/>
  <c r="C34" i="35"/>
  <c r="D40" i="35"/>
  <c r="F40" i="35" s="1"/>
  <c r="H5" i="35"/>
  <c r="H21" i="35" s="1"/>
  <c r="H6" i="35"/>
  <c r="H22" i="35" s="1"/>
  <c r="I7" i="35"/>
  <c r="I23" i="35" s="1"/>
  <c r="H8" i="35"/>
  <c r="H24" i="35" s="1"/>
  <c r="H9" i="35"/>
  <c r="H25" i="35" s="1"/>
  <c r="I10" i="35"/>
  <c r="I26" i="35" s="1"/>
  <c r="I11" i="35"/>
  <c r="I27" i="35" s="1"/>
  <c r="H12" i="35"/>
  <c r="H28" i="35" s="1"/>
  <c r="D14" i="35"/>
  <c r="D30" i="35" s="1"/>
  <c r="F15" i="35"/>
  <c r="F31" i="35" s="1"/>
  <c r="J17" i="35"/>
  <c r="J33" i="35" s="1"/>
  <c r="F17" i="35"/>
  <c r="F33" i="35" s="1"/>
  <c r="I16" i="35"/>
  <c r="I32" i="35" s="1"/>
  <c r="E16" i="35"/>
  <c r="E32" i="35" s="1"/>
  <c r="H15" i="35"/>
  <c r="H31" i="35" s="1"/>
  <c r="D15" i="35"/>
  <c r="D31" i="35" s="1"/>
  <c r="G14" i="35"/>
  <c r="G30" i="35" s="1"/>
  <c r="J13" i="35"/>
  <c r="J29" i="35" s="1"/>
  <c r="F13" i="35"/>
  <c r="F29" i="35" s="1"/>
  <c r="I12" i="35"/>
  <c r="I28" i="35" s="1"/>
  <c r="E12" i="35"/>
  <c r="E28" i="35" s="1"/>
  <c r="H11" i="35"/>
  <c r="H27" i="35" s="1"/>
  <c r="D11" i="35"/>
  <c r="D27" i="35" s="1"/>
  <c r="G10" i="35"/>
  <c r="G26" i="35" s="1"/>
  <c r="J9" i="35"/>
  <c r="J25" i="35" s="1"/>
  <c r="F9" i="35"/>
  <c r="F25" i="35" s="1"/>
  <c r="I8" i="35"/>
  <c r="I24" i="35" s="1"/>
  <c r="E8" i="35"/>
  <c r="E24" i="35" s="1"/>
  <c r="H7" i="35"/>
  <c r="H23" i="35" s="1"/>
  <c r="D7" i="35"/>
  <c r="D23" i="35" s="1"/>
  <c r="G6" i="35"/>
  <c r="G22" i="35" s="1"/>
  <c r="J5" i="35"/>
  <c r="J21" i="35" s="1"/>
  <c r="F5" i="35"/>
  <c r="F21" i="35" s="1"/>
  <c r="D38" i="35"/>
  <c r="F38" i="35" s="1"/>
  <c r="I17" i="35"/>
  <c r="I33" i="35" s="1"/>
  <c r="E17" i="35"/>
  <c r="E33" i="35" s="1"/>
  <c r="H16" i="35"/>
  <c r="H32" i="35" s="1"/>
  <c r="D16" i="35"/>
  <c r="D32" i="35" s="1"/>
  <c r="G15" i="35"/>
  <c r="G31" i="35" s="1"/>
  <c r="J14" i="35"/>
  <c r="J30" i="35" s="1"/>
  <c r="F14" i="35"/>
  <c r="F30" i="35" s="1"/>
  <c r="I13" i="35"/>
  <c r="I29" i="35" s="1"/>
  <c r="E5" i="35"/>
  <c r="E21" i="35" s="1"/>
  <c r="D6" i="35"/>
  <c r="D22" i="35" s="1"/>
  <c r="I6" i="35"/>
  <c r="I22" i="35" s="1"/>
  <c r="G7" i="35"/>
  <c r="G23" i="35" s="1"/>
  <c r="F8" i="35"/>
  <c r="F24" i="35" s="1"/>
  <c r="D9" i="35"/>
  <c r="D25" i="35" s="1"/>
  <c r="I9" i="35"/>
  <c r="I25" i="35" s="1"/>
  <c r="H10" i="35"/>
  <c r="H26" i="35" s="1"/>
  <c r="F11" i="35"/>
  <c r="F27" i="35" s="1"/>
  <c r="D12" i="35"/>
  <c r="D28" i="35" s="1"/>
  <c r="J12" i="35"/>
  <c r="J28" i="35" s="1"/>
  <c r="H13" i="35"/>
  <c r="H29" i="35" s="1"/>
  <c r="I14" i="35"/>
  <c r="I30" i="35" s="1"/>
  <c r="J15" i="35"/>
  <c r="J31" i="35" s="1"/>
  <c r="D17" i="35"/>
  <c r="D33" i="35" s="1"/>
  <c r="D39" i="35"/>
  <c r="F39" i="35" s="1"/>
  <c r="C41" i="34"/>
  <c r="C40" i="34"/>
  <c r="C39" i="34"/>
  <c r="C38" i="34"/>
  <c r="C33" i="34"/>
  <c r="A33" i="34"/>
  <c r="C32" i="34"/>
  <c r="A32" i="34"/>
  <c r="C31" i="34"/>
  <c r="A31" i="34"/>
  <c r="C30" i="34"/>
  <c r="A30" i="34"/>
  <c r="C29" i="34"/>
  <c r="A29" i="34"/>
  <c r="C28" i="34"/>
  <c r="A28" i="34"/>
  <c r="C27" i="34"/>
  <c r="A27" i="34"/>
  <c r="C26" i="34"/>
  <c r="A26" i="34"/>
  <c r="C25" i="34"/>
  <c r="A25" i="34"/>
  <c r="C24" i="34"/>
  <c r="A24" i="34"/>
  <c r="C23" i="34"/>
  <c r="A23" i="34"/>
  <c r="C22" i="34"/>
  <c r="A22" i="34"/>
  <c r="C21" i="34"/>
  <c r="A21" i="34"/>
  <c r="J20" i="34"/>
  <c r="I20" i="34"/>
  <c r="H20" i="34"/>
  <c r="G20" i="34"/>
  <c r="F20" i="34"/>
  <c r="E20" i="34"/>
  <c r="D20" i="34"/>
  <c r="C18" i="34"/>
  <c r="E15" i="34" s="1"/>
  <c r="E31" i="34" s="1"/>
  <c r="I15" i="34"/>
  <c r="I31" i="34" s="1"/>
  <c r="D13" i="34"/>
  <c r="D29" i="34" s="1"/>
  <c r="I10" i="34"/>
  <c r="I26" i="34" s="1"/>
  <c r="H10" i="34"/>
  <c r="H26" i="34" s="1"/>
  <c r="H9" i="34"/>
  <c r="H25" i="34" s="1"/>
  <c r="G8" i="34"/>
  <c r="G24" i="34" s="1"/>
  <c r="F8" i="34"/>
  <c r="F24" i="34" s="1"/>
  <c r="F7" i="34"/>
  <c r="F23" i="34" s="1"/>
  <c r="E6" i="34"/>
  <c r="E22" i="34" s="1"/>
  <c r="D6" i="34"/>
  <c r="D22" i="34" s="1"/>
  <c r="D5" i="34"/>
  <c r="D21" i="34" s="1"/>
  <c r="C41" i="33"/>
  <c r="C40" i="33"/>
  <c r="C39" i="33"/>
  <c r="C38" i="33"/>
  <c r="C33" i="33"/>
  <c r="A33" i="33"/>
  <c r="C32" i="33"/>
  <c r="A32" i="33"/>
  <c r="C31" i="33"/>
  <c r="A31" i="33"/>
  <c r="C30" i="33"/>
  <c r="A30" i="33"/>
  <c r="C29" i="33"/>
  <c r="A29" i="33"/>
  <c r="C28" i="33"/>
  <c r="A28" i="33"/>
  <c r="C27" i="33"/>
  <c r="A27" i="33"/>
  <c r="C26" i="33"/>
  <c r="A26" i="33"/>
  <c r="C25" i="33"/>
  <c r="A25" i="33"/>
  <c r="C24" i="33"/>
  <c r="A24" i="33"/>
  <c r="C23" i="33"/>
  <c r="A23" i="33"/>
  <c r="C22" i="33"/>
  <c r="A22" i="33"/>
  <c r="C21" i="33"/>
  <c r="A21" i="33"/>
  <c r="J20" i="33"/>
  <c r="I20" i="33"/>
  <c r="H20" i="33"/>
  <c r="G20" i="33"/>
  <c r="F20" i="33"/>
  <c r="E20" i="33"/>
  <c r="D20" i="33"/>
  <c r="C18" i="33"/>
  <c r="D40" i="33" s="1"/>
  <c r="F40" i="33" s="1"/>
  <c r="J17" i="33"/>
  <c r="J33" i="33" s="1"/>
  <c r="I15" i="33"/>
  <c r="I31" i="33" s="1"/>
  <c r="H15" i="33"/>
  <c r="H31" i="33" s="1"/>
  <c r="G13" i="33"/>
  <c r="G29" i="33" s="1"/>
  <c r="F13" i="33"/>
  <c r="F29" i="33" s="1"/>
  <c r="E11" i="33"/>
  <c r="E27" i="33" s="1"/>
  <c r="D11" i="33"/>
  <c r="D27" i="33" s="1"/>
  <c r="J8" i="33"/>
  <c r="J24" i="33" s="1"/>
  <c r="I8" i="33"/>
  <c r="I24" i="33" s="1"/>
  <c r="H6" i="33"/>
  <c r="H22" i="33" s="1"/>
  <c r="G6" i="33"/>
  <c r="G22" i="33" s="1"/>
  <c r="G34" i="35" l="1"/>
  <c r="I34" i="35"/>
  <c r="D34" i="35"/>
  <c r="H34" i="35"/>
  <c r="F34" i="35"/>
  <c r="J34" i="35"/>
  <c r="E34" i="35"/>
  <c r="J11" i="34"/>
  <c r="J27" i="34" s="1"/>
  <c r="G17" i="34"/>
  <c r="G33" i="34" s="1"/>
  <c r="D14" i="34"/>
  <c r="D30" i="34" s="1"/>
  <c r="E7" i="34"/>
  <c r="E23" i="34" s="1"/>
  <c r="G9" i="34"/>
  <c r="G25" i="34" s="1"/>
  <c r="I11" i="34"/>
  <c r="I27" i="34" s="1"/>
  <c r="E14" i="34"/>
  <c r="E30" i="34" s="1"/>
  <c r="J12" i="34"/>
  <c r="J28" i="34" s="1"/>
  <c r="D40" i="34"/>
  <c r="F40" i="34" s="1"/>
  <c r="D41" i="34"/>
  <c r="F41" i="34" s="1"/>
  <c r="J17" i="34"/>
  <c r="J33" i="34" s="1"/>
  <c r="F17" i="34"/>
  <c r="F33" i="34" s="1"/>
  <c r="I16" i="34"/>
  <c r="I32" i="34" s="1"/>
  <c r="E16" i="34"/>
  <c r="E32" i="34" s="1"/>
  <c r="H15" i="34"/>
  <c r="H31" i="34" s="1"/>
  <c r="D15" i="34"/>
  <c r="D31" i="34" s="1"/>
  <c r="G14" i="34"/>
  <c r="G30" i="34" s="1"/>
  <c r="J13" i="34"/>
  <c r="J29" i="34" s="1"/>
  <c r="F13" i="34"/>
  <c r="F29" i="34" s="1"/>
  <c r="I12" i="34"/>
  <c r="I28" i="34" s="1"/>
  <c r="E12" i="34"/>
  <c r="E28" i="34" s="1"/>
  <c r="H11" i="34"/>
  <c r="H27" i="34" s="1"/>
  <c r="D11" i="34"/>
  <c r="D27" i="34" s="1"/>
  <c r="G10" i="34"/>
  <c r="G26" i="34" s="1"/>
  <c r="J9" i="34"/>
  <c r="J25" i="34" s="1"/>
  <c r="F9" i="34"/>
  <c r="F25" i="34" s="1"/>
  <c r="I8" i="34"/>
  <c r="I24" i="34" s="1"/>
  <c r="E8" i="34"/>
  <c r="E24" i="34" s="1"/>
  <c r="H7" i="34"/>
  <c r="H23" i="34" s="1"/>
  <c r="D7" i="34"/>
  <c r="D23" i="34" s="1"/>
  <c r="G6" i="34"/>
  <c r="G22" i="34" s="1"/>
  <c r="J5" i="34"/>
  <c r="J21" i="34" s="1"/>
  <c r="F5" i="34"/>
  <c r="F21" i="34" s="1"/>
  <c r="D38" i="34"/>
  <c r="F38" i="34" s="1"/>
  <c r="I17" i="34"/>
  <c r="I33" i="34" s="1"/>
  <c r="E17" i="34"/>
  <c r="E33" i="34" s="1"/>
  <c r="H16" i="34"/>
  <c r="H32" i="34" s="1"/>
  <c r="D16" i="34"/>
  <c r="D32" i="34" s="1"/>
  <c r="G15" i="34"/>
  <c r="G31" i="34" s="1"/>
  <c r="J14" i="34"/>
  <c r="J30" i="34" s="1"/>
  <c r="F14" i="34"/>
  <c r="F30" i="34" s="1"/>
  <c r="I13" i="34"/>
  <c r="I29" i="34" s="1"/>
  <c r="E13" i="34"/>
  <c r="E29" i="34" s="1"/>
  <c r="H12" i="34"/>
  <c r="H28" i="34" s="1"/>
  <c r="D12" i="34"/>
  <c r="D28" i="34" s="1"/>
  <c r="G11" i="34"/>
  <c r="G27" i="34" s="1"/>
  <c r="J10" i="34"/>
  <c r="J26" i="34" s="1"/>
  <c r="F10" i="34"/>
  <c r="F26" i="34" s="1"/>
  <c r="I9" i="34"/>
  <c r="I25" i="34" s="1"/>
  <c r="E9" i="34"/>
  <c r="E25" i="34" s="1"/>
  <c r="H8" i="34"/>
  <c r="H24" i="34" s="1"/>
  <c r="D8" i="34"/>
  <c r="D24" i="34" s="1"/>
  <c r="G7" i="34"/>
  <c r="G23" i="34" s="1"/>
  <c r="J6" i="34"/>
  <c r="J22" i="34" s="1"/>
  <c r="F6" i="34"/>
  <c r="F22" i="34" s="1"/>
  <c r="I5" i="34"/>
  <c r="I21" i="34" s="1"/>
  <c r="E5" i="34"/>
  <c r="E21" i="34" s="1"/>
  <c r="H17" i="34"/>
  <c r="H33" i="34" s="1"/>
  <c r="D17" i="34"/>
  <c r="D33" i="34" s="1"/>
  <c r="G16" i="34"/>
  <c r="G32" i="34" s="1"/>
  <c r="J15" i="34"/>
  <c r="J31" i="34" s="1"/>
  <c r="F15" i="34"/>
  <c r="F31" i="34" s="1"/>
  <c r="D39" i="34"/>
  <c r="F39" i="34" s="1"/>
  <c r="G5" i="34"/>
  <c r="G21" i="34" s="1"/>
  <c r="H6" i="34"/>
  <c r="H22" i="34" s="1"/>
  <c r="I7" i="34"/>
  <c r="I23" i="34" s="1"/>
  <c r="J8" i="34"/>
  <c r="J24" i="34" s="1"/>
  <c r="D10" i="34"/>
  <c r="D26" i="34" s="1"/>
  <c r="E11" i="34"/>
  <c r="E27" i="34" s="1"/>
  <c r="F12" i="34"/>
  <c r="F28" i="34" s="1"/>
  <c r="G13" i="34"/>
  <c r="G29" i="34" s="1"/>
  <c r="H14" i="34"/>
  <c r="H30" i="34" s="1"/>
  <c r="F16" i="34"/>
  <c r="F32" i="34" s="1"/>
  <c r="H5" i="34"/>
  <c r="H21" i="34" s="1"/>
  <c r="I6" i="34"/>
  <c r="I22" i="34" s="1"/>
  <c r="J7" i="34"/>
  <c r="J23" i="34" s="1"/>
  <c r="D9" i="34"/>
  <c r="D25" i="34" s="1"/>
  <c r="E10" i="34"/>
  <c r="E26" i="34" s="1"/>
  <c r="F11" i="34"/>
  <c r="F27" i="34" s="1"/>
  <c r="G12" i="34"/>
  <c r="G28" i="34" s="1"/>
  <c r="H13" i="34"/>
  <c r="H29" i="34" s="1"/>
  <c r="I14" i="34"/>
  <c r="I30" i="34" s="1"/>
  <c r="J16" i="34"/>
  <c r="J32" i="34" s="1"/>
  <c r="C34" i="34"/>
  <c r="F5" i="33"/>
  <c r="F21" i="33" s="1"/>
  <c r="H7" i="33"/>
  <c r="H23" i="33" s="1"/>
  <c r="J9" i="33"/>
  <c r="J25" i="33" s="1"/>
  <c r="E12" i="33"/>
  <c r="E28" i="33" s="1"/>
  <c r="G14" i="33"/>
  <c r="G30" i="33" s="1"/>
  <c r="I16" i="33"/>
  <c r="I32" i="33" s="1"/>
  <c r="G5" i="33"/>
  <c r="G21" i="33" s="1"/>
  <c r="I7" i="33"/>
  <c r="I23" i="33" s="1"/>
  <c r="D10" i="33"/>
  <c r="D26" i="33" s="1"/>
  <c r="F12" i="33"/>
  <c r="F28" i="33" s="1"/>
  <c r="H14" i="33"/>
  <c r="H30" i="33" s="1"/>
  <c r="J16" i="33"/>
  <c r="J32" i="33" s="1"/>
  <c r="J5" i="33"/>
  <c r="J21" i="33" s="1"/>
  <c r="D7" i="33"/>
  <c r="D23" i="33" s="1"/>
  <c r="E8" i="33"/>
  <c r="E24" i="33" s="1"/>
  <c r="F9" i="33"/>
  <c r="F25" i="33" s="1"/>
  <c r="G10" i="33"/>
  <c r="G26" i="33" s="1"/>
  <c r="H11" i="33"/>
  <c r="H27" i="33" s="1"/>
  <c r="I12" i="33"/>
  <c r="I28" i="33" s="1"/>
  <c r="J13" i="33"/>
  <c r="J29" i="33" s="1"/>
  <c r="D15" i="33"/>
  <c r="D31" i="33" s="1"/>
  <c r="E16" i="33"/>
  <c r="E32" i="33" s="1"/>
  <c r="F17" i="33"/>
  <c r="F33" i="33" s="1"/>
  <c r="D6" i="33"/>
  <c r="D22" i="33" s="1"/>
  <c r="E7" i="33"/>
  <c r="E23" i="33" s="1"/>
  <c r="F8" i="33"/>
  <c r="F24" i="33" s="1"/>
  <c r="G9" i="33"/>
  <c r="G25" i="33" s="1"/>
  <c r="H10" i="33"/>
  <c r="H26" i="33" s="1"/>
  <c r="I11" i="33"/>
  <c r="I27" i="33" s="1"/>
  <c r="J12" i="33"/>
  <c r="J28" i="33" s="1"/>
  <c r="D14" i="33"/>
  <c r="D30" i="33" s="1"/>
  <c r="E15" i="33"/>
  <c r="E31" i="33" s="1"/>
  <c r="F16" i="33"/>
  <c r="F32" i="33" s="1"/>
  <c r="G17" i="33"/>
  <c r="G33" i="33" s="1"/>
  <c r="D39" i="33"/>
  <c r="F39" i="33" s="1"/>
  <c r="D5" i="33"/>
  <c r="D21" i="33" s="1"/>
  <c r="H5" i="33"/>
  <c r="H21" i="33" s="1"/>
  <c r="E6" i="33"/>
  <c r="E22" i="33" s="1"/>
  <c r="I6" i="33"/>
  <c r="I22" i="33" s="1"/>
  <c r="F7" i="33"/>
  <c r="F23" i="33" s="1"/>
  <c r="J7" i="33"/>
  <c r="J23" i="33" s="1"/>
  <c r="G8" i="33"/>
  <c r="G24" i="33" s="1"/>
  <c r="D9" i="33"/>
  <c r="D25" i="33" s="1"/>
  <c r="H9" i="33"/>
  <c r="H25" i="33" s="1"/>
  <c r="E10" i="33"/>
  <c r="E26" i="33" s="1"/>
  <c r="I10" i="33"/>
  <c r="I26" i="33" s="1"/>
  <c r="F11" i="33"/>
  <c r="F27" i="33" s="1"/>
  <c r="J11" i="33"/>
  <c r="J27" i="33" s="1"/>
  <c r="G12" i="33"/>
  <c r="G28" i="33" s="1"/>
  <c r="D13" i="33"/>
  <c r="D29" i="33" s="1"/>
  <c r="H13" i="33"/>
  <c r="H29" i="33" s="1"/>
  <c r="E14" i="33"/>
  <c r="E30" i="33" s="1"/>
  <c r="I14" i="33"/>
  <c r="I30" i="33" s="1"/>
  <c r="F15" i="33"/>
  <c r="F31" i="33" s="1"/>
  <c r="J15" i="33"/>
  <c r="J31" i="33" s="1"/>
  <c r="G16" i="33"/>
  <c r="G32" i="33" s="1"/>
  <c r="D17" i="33"/>
  <c r="D33" i="33" s="1"/>
  <c r="H17" i="33"/>
  <c r="H33" i="33" s="1"/>
  <c r="C34" i="33"/>
  <c r="E5" i="33"/>
  <c r="E21" i="33" s="1"/>
  <c r="I5" i="33"/>
  <c r="I21" i="33" s="1"/>
  <c r="F6" i="33"/>
  <c r="F22" i="33" s="1"/>
  <c r="J6" i="33"/>
  <c r="J22" i="33" s="1"/>
  <c r="G7" i="33"/>
  <c r="G23" i="33" s="1"/>
  <c r="D8" i="33"/>
  <c r="D24" i="33" s="1"/>
  <c r="H8" i="33"/>
  <c r="H24" i="33" s="1"/>
  <c r="E9" i="33"/>
  <c r="E25" i="33" s="1"/>
  <c r="I9" i="33"/>
  <c r="I25" i="33" s="1"/>
  <c r="F10" i="33"/>
  <c r="F26" i="33" s="1"/>
  <c r="J10" i="33"/>
  <c r="J26" i="33" s="1"/>
  <c r="G11" i="33"/>
  <c r="G27" i="33" s="1"/>
  <c r="D12" i="33"/>
  <c r="D28" i="33" s="1"/>
  <c r="H12" i="33"/>
  <c r="H28" i="33" s="1"/>
  <c r="E13" i="33"/>
  <c r="E29" i="33" s="1"/>
  <c r="I13" i="33"/>
  <c r="I29" i="33" s="1"/>
  <c r="F14" i="33"/>
  <c r="F30" i="33" s="1"/>
  <c r="J14" i="33"/>
  <c r="J30" i="33" s="1"/>
  <c r="G15" i="33"/>
  <c r="G31" i="33" s="1"/>
  <c r="D16" i="33"/>
  <c r="D32" i="33" s="1"/>
  <c r="H16" i="33"/>
  <c r="H32" i="33" s="1"/>
  <c r="E17" i="33"/>
  <c r="E33" i="33" s="1"/>
  <c r="I17" i="33"/>
  <c r="I33" i="33" s="1"/>
  <c r="D38" i="33"/>
  <c r="F38" i="33" s="1"/>
  <c r="D34" i="33"/>
  <c r="D41" i="33"/>
  <c r="F41" i="33" s="1"/>
  <c r="C43" i="32"/>
  <c r="C42" i="32"/>
  <c r="C41" i="32"/>
  <c r="C40" i="32"/>
  <c r="C35" i="32"/>
  <c r="A35" i="32"/>
  <c r="C34" i="32"/>
  <c r="A34" i="32"/>
  <c r="C33" i="32"/>
  <c r="A33" i="32"/>
  <c r="C32" i="32"/>
  <c r="A32" i="32"/>
  <c r="C31" i="32"/>
  <c r="A31" i="32"/>
  <c r="C30" i="32"/>
  <c r="A30" i="32"/>
  <c r="C29" i="32"/>
  <c r="A29" i="32"/>
  <c r="C28" i="32"/>
  <c r="A28" i="32"/>
  <c r="C27" i="32"/>
  <c r="A27" i="32"/>
  <c r="C26" i="32"/>
  <c r="A26" i="32"/>
  <c r="C25" i="32"/>
  <c r="A25" i="32"/>
  <c r="C24" i="32"/>
  <c r="A24" i="32"/>
  <c r="C23" i="32"/>
  <c r="A23" i="32"/>
  <c r="J22" i="32"/>
  <c r="I22" i="32"/>
  <c r="H22" i="32"/>
  <c r="G22" i="32"/>
  <c r="F22" i="32"/>
  <c r="E22" i="32"/>
  <c r="D22" i="32"/>
  <c r="C20" i="32"/>
  <c r="D42" i="32" s="1"/>
  <c r="F42" i="32" s="1"/>
  <c r="I19" i="32"/>
  <c r="I35" i="32" s="1"/>
  <c r="G18" i="32"/>
  <c r="G34" i="32" s="1"/>
  <c r="J15" i="32"/>
  <c r="J31" i="32" s="1"/>
  <c r="I14" i="32"/>
  <c r="I30" i="32" s="1"/>
  <c r="H13" i="32"/>
  <c r="H29" i="32" s="1"/>
  <c r="F12" i="32"/>
  <c r="F28" i="32" s="1"/>
  <c r="E10" i="32"/>
  <c r="E26" i="32" s="1"/>
  <c r="D10" i="32"/>
  <c r="D26" i="32" s="1"/>
  <c r="I7" i="32"/>
  <c r="I23" i="32" s="1"/>
  <c r="E34" i="34" l="1"/>
  <c r="D34" i="34"/>
  <c r="F34" i="34"/>
  <c r="H34" i="34"/>
  <c r="G34" i="34"/>
  <c r="I34" i="34"/>
  <c r="J34" i="34"/>
  <c r="E34" i="33"/>
  <c r="H34" i="33"/>
  <c r="G34" i="33"/>
  <c r="I34" i="33"/>
  <c r="J34" i="33"/>
  <c r="F34" i="33"/>
  <c r="D9" i="32"/>
  <c r="D25" i="32" s="1"/>
  <c r="G12" i="32"/>
  <c r="G28" i="32" s="1"/>
  <c r="J16" i="32"/>
  <c r="J32" i="32" s="1"/>
  <c r="J7" i="32"/>
  <c r="J23" i="32" s="1"/>
  <c r="F11" i="32"/>
  <c r="F27" i="32" s="1"/>
  <c r="H14" i="32"/>
  <c r="H30" i="32" s="1"/>
  <c r="D17" i="32"/>
  <c r="D33" i="32" s="1"/>
  <c r="J8" i="32"/>
  <c r="J24" i="32" s="1"/>
  <c r="E11" i="32"/>
  <c r="E27" i="32" s="1"/>
  <c r="G13" i="32"/>
  <c r="G29" i="32" s="1"/>
  <c r="I15" i="32"/>
  <c r="I31" i="32" s="1"/>
  <c r="F18" i="32"/>
  <c r="F34" i="32" s="1"/>
  <c r="E7" i="32"/>
  <c r="E23" i="32" s="1"/>
  <c r="F8" i="32"/>
  <c r="F24" i="32" s="1"/>
  <c r="G9" i="32"/>
  <c r="G25" i="32" s="1"/>
  <c r="H10" i="32"/>
  <c r="H26" i="32" s="1"/>
  <c r="I11" i="32"/>
  <c r="I27" i="32" s="1"/>
  <c r="J12" i="32"/>
  <c r="J28" i="32" s="1"/>
  <c r="D14" i="32"/>
  <c r="D30" i="32" s="1"/>
  <c r="E15" i="32"/>
  <c r="E31" i="32" s="1"/>
  <c r="F16" i="32"/>
  <c r="F32" i="32" s="1"/>
  <c r="G17" i="32"/>
  <c r="G33" i="32" s="1"/>
  <c r="D19" i="32"/>
  <c r="D35" i="32" s="1"/>
  <c r="F7" i="32"/>
  <c r="F23" i="32" s="1"/>
  <c r="G8" i="32"/>
  <c r="G24" i="32" s="1"/>
  <c r="H9" i="32"/>
  <c r="H25" i="32" s="1"/>
  <c r="I10" i="32"/>
  <c r="I26" i="32" s="1"/>
  <c r="J11" i="32"/>
  <c r="J27" i="32" s="1"/>
  <c r="D13" i="32"/>
  <c r="D29" i="32" s="1"/>
  <c r="E14" i="32"/>
  <c r="E30" i="32" s="1"/>
  <c r="F15" i="32"/>
  <c r="F31" i="32" s="1"/>
  <c r="G16" i="32"/>
  <c r="G32" i="32" s="1"/>
  <c r="I17" i="32"/>
  <c r="I33" i="32" s="1"/>
  <c r="E19" i="32"/>
  <c r="E35" i="32" s="1"/>
  <c r="D40" i="32"/>
  <c r="F40" i="32" s="1"/>
  <c r="G7" i="32"/>
  <c r="G23" i="32" s="1"/>
  <c r="D8" i="32"/>
  <c r="D24" i="32" s="1"/>
  <c r="H8" i="32"/>
  <c r="H24" i="32" s="1"/>
  <c r="E9" i="32"/>
  <c r="E25" i="32" s="1"/>
  <c r="I9" i="32"/>
  <c r="I25" i="32" s="1"/>
  <c r="F10" i="32"/>
  <c r="F26" i="32" s="1"/>
  <c r="J10" i="32"/>
  <c r="J26" i="32" s="1"/>
  <c r="G11" i="32"/>
  <c r="G27" i="32" s="1"/>
  <c r="D12" i="32"/>
  <c r="D28" i="32" s="1"/>
  <c r="H12" i="32"/>
  <c r="H28" i="32" s="1"/>
  <c r="E13" i="32"/>
  <c r="E29" i="32" s="1"/>
  <c r="I13" i="32"/>
  <c r="I29" i="32" s="1"/>
  <c r="F14" i="32"/>
  <c r="F30" i="32" s="1"/>
  <c r="J14" i="32"/>
  <c r="J30" i="32" s="1"/>
  <c r="G15" i="32"/>
  <c r="G31" i="32" s="1"/>
  <c r="D16" i="32"/>
  <c r="D32" i="32" s="1"/>
  <c r="H16" i="32"/>
  <c r="H32" i="32" s="1"/>
  <c r="E17" i="32"/>
  <c r="E33" i="32" s="1"/>
  <c r="J17" i="32"/>
  <c r="J33" i="32" s="1"/>
  <c r="H18" i="32"/>
  <c r="H34" i="32" s="1"/>
  <c r="G19" i="32"/>
  <c r="G35" i="32" s="1"/>
  <c r="C36" i="32"/>
  <c r="D7" i="32"/>
  <c r="D23" i="32" s="1"/>
  <c r="H7" i="32"/>
  <c r="H23" i="32" s="1"/>
  <c r="E8" i="32"/>
  <c r="E24" i="32" s="1"/>
  <c r="I8" i="32"/>
  <c r="I24" i="32" s="1"/>
  <c r="F9" i="32"/>
  <c r="F25" i="32" s="1"/>
  <c r="J9" i="32"/>
  <c r="J25" i="32" s="1"/>
  <c r="G10" i="32"/>
  <c r="G26" i="32" s="1"/>
  <c r="D11" i="32"/>
  <c r="D27" i="32" s="1"/>
  <c r="H11" i="32"/>
  <c r="H27" i="32" s="1"/>
  <c r="E12" i="32"/>
  <c r="E28" i="32" s="1"/>
  <c r="I12" i="32"/>
  <c r="I28" i="32" s="1"/>
  <c r="F13" i="32"/>
  <c r="F29" i="32" s="1"/>
  <c r="J13" i="32"/>
  <c r="J29" i="32" s="1"/>
  <c r="G14" i="32"/>
  <c r="G30" i="32" s="1"/>
  <c r="D15" i="32"/>
  <c r="D31" i="32" s="1"/>
  <c r="H15" i="32"/>
  <c r="H31" i="32" s="1"/>
  <c r="E16" i="32"/>
  <c r="E32" i="32" s="1"/>
  <c r="I16" i="32"/>
  <c r="I32" i="32" s="1"/>
  <c r="F17" i="32"/>
  <c r="F33" i="32" s="1"/>
  <c r="D18" i="32"/>
  <c r="D34" i="32" s="1"/>
  <c r="J18" i="32"/>
  <c r="J34" i="32" s="1"/>
  <c r="H19" i="32"/>
  <c r="H35" i="32" s="1"/>
  <c r="D41" i="32"/>
  <c r="F41" i="32" s="1"/>
  <c r="H17" i="32"/>
  <c r="H33" i="32" s="1"/>
  <c r="E18" i="32"/>
  <c r="E34" i="32" s="1"/>
  <c r="I18" i="32"/>
  <c r="I34" i="32" s="1"/>
  <c r="F19" i="32"/>
  <c r="F35" i="32" s="1"/>
  <c r="J19" i="32"/>
  <c r="J35" i="32" s="1"/>
  <c r="D43" i="32"/>
  <c r="F43" i="32" s="1"/>
  <c r="C41" i="30"/>
  <c r="C40" i="30"/>
  <c r="C39" i="30"/>
  <c r="C38" i="30"/>
  <c r="C33" i="30"/>
  <c r="A33" i="30"/>
  <c r="C32" i="30"/>
  <c r="A32" i="30"/>
  <c r="C31" i="30"/>
  <c r="A31" i="30"/>
  <c r="C30" i="30"/>
  <c r="A30" i="30"/>
  <c r="C29" i="30"/>
  <c r="A29" i="30"/>
  <c r="C28" i="30"/>
  <c r="A28" i="30"/>
  <c r="C27" i="30"/>
  <c r="A27" i="30"/>
  <c r="C26" i="30"/>
  <c r="A26" i="30"/>
  <c r="C25" i="30"/>
  <c r="A25" i="30"/>
  <c r="C24" i="30"/>
  <c r="A24" i="30"/>
  <c r="C23" i="30"/>
  <c r="A23" i="30"/>
  <c r="C22" i="30"/>
  <c r="A22" i="30"/>
  <c r="C21" i="30"/>
  <c r="A21" i="30"/>
  <c r="J20" i="30"/>
  <c r="I20" i="30"/>
  <c r="H20" i="30"/>
  <c r="G20" i="30"/>
  <c r="F20" i="30"/>
  <c r="E20" i="30"/>
  <c r="D20" i="30"/>
  <c r="C18" i="30"/>
  <c r="D40" i="30" s="1"/>
  <c r="F40" i="30" s="1"/>
  <c r="I12" i="30"/>
  <c r="I28" i="30" s="1"/>
  <c r="D12" i="30"/>
  <c r="D28" i="30" s="1"/>
  <c r="G10" i="30"/>
  <c r="G26" i="30" s="1"/>
  <c r="I9" i="30"/>
  <c r="I25" i="30" s="1"/>
  <c r="J8" i="30"/>
  <c r="J24" i="30" s="1"/>
  <c r="G7" i="30"/>
  <c r="G23" i="30" s="1"/>
  <c r="H6" i="30"/>
  <c r="H22" i="30" s="1"/>
  <c r="J5" i="30"/>
  <c r="J21" i="30" s="1"/>
  <c r="E36" i="32" l="1"/>
  <c r="I36" i="32"/>
  <c r="F36" i="32"/>
  <c r="G36" i="32"/>
  <c r="J36" i="32"/>
  <c r="D36" i="32"/>
  <c r="H36" i="32"/>
  <c r="E5" i="30"/>
  <c r="E21" i="30" s="1"/>
  <c r="E8" i="30"/>
  <c r="E24" i="30" s="1"/>
  <c r="E11" i="30"/>
  <c r="E27" i="30" s="1"/>
  <c r="G13" i="30"/>
  <c r="G29" i="30" s="1"/>
  <c r="F14" i="30"/>
  <c r="F30" i="30" s="1"/>
  <c r="D15" i="30"/>
  <c r="D31" i="30" s="1"/>
  <c r="I15" i="30"/>
  <c r="I31" i="30" s="1"/>
  <c r="H16" i="30"/>
  <c r="H32" i="30" s="1"/>
  <c r="F17" i="30"/>
  <c r="F33" i="30" s="1"/>
  <c r="D38" i="30"/>
  <c r="F38" i="30" s="1"/>
  <c r="D6" i="30"/>
  <c r="D22" i="30" s="1"/>
  <c r="J6" i="30"/>
  <c r="J22" i="30" s="1"/>
  <c r="F8" i="30"/>
  <c r="F24" i="30" s="1"/>
  <c r="J9" i="30"/>
  <c r="J25" i="30" s="1"/>
  <c r="G11" i="30"/>
  <c r="G27" i="30" s="1"/>
  <c r="J12" i="30"/>
  <c r="J28" i="30" s="1"/>
  <c r="I13" i="30"/>
  <c r="I29" i="30" s="1"/>
  <c r="D16" i="30"/>
  <c r="D32" i="30" s="1"/>
  <c r="F6" i="30"/>
  <c r="F22" i="30" s="1"/>
  <c r="I7" i="30"/>
  <c r="I23" i="30" s="1"/>
  <c r="H8" i="30"/>
  <c r="H24" i="30" s="1"/>
  <c r="F9" i="30"/>
  <c r="F25" i="30" s="1"/>
  <c r="D10" i="30"/>
  <c r="D26" i="30" s="1"/>
  <c r="J10" i="30"/>
  <c r="J26" i="30" s="1"/>
  <c r="H11" i="30"/>
  <c r="H27" i="30" s="1"/>
  <c r="F12" i="30"/>
  <c r="F28" i="30" s="1"/>
  <c r="E13" i="30"/>
  <c r="E29" i="30" s="1"/>
  <c r="J13" i="30"/>
  <c r="J29" i="30" s="1"/>
  <c r="H14" i="30"/>
  <c r="H30" i="30" s="1"/>
  <c r="G15" i="30"/>
  <c r="G31" i="30" s="1"/>
  <c r="E16" i="30"/>
  <c r="E32" i="30" s="1"/>
  <c r="J16" i="30"/>
  <c r="J32" i="30" s="1"/>
  <c r="I17" i="30"/>
  <c r="I33" i="30" s="1"/>
  <c r="F5" i="30"/>
  <c r="F21" i="30" s="1"/>
  <c r="H7" i="30"/>
  <c r="H23" i="30" s="1"/>
  <c r="E9" i="30"/>
  <c r="E25" i="30" s="1"/>
  <c r="H10" i="30"/>
  <c r="H26" i="30" s="1"/>
  <c r="E12" i="30"/>
  <c r="E28" i="30" s="1"/>
  <c r="G14" i="30"/>
  <c r="G30" i="30" s="1"/>
  <c r="E15" i="30"/>
  <c r="E31" i="30" s="1"/>
  <c r="I16" i="30"/>
  <c r="I32" i="30" s="1"/>
  <c r="G17" i="30"/>
  <c r="G33" i="30" s="1"/>
  <c r="G5" i="30"/>
  <c r="G21" i="30" s="1"/>
  <c r="G34" i="30" s="1"/>
  <c r="D7" i="30"/>
  <c r="D23" i="30" s="1"/>
  <c r="I5" i="30"/>
  <c r="I21" i="30" s="1"/>
  <c r="G6" i="30"/>
  <c r="G22" i="30" s="1"/>
  <c r="E7" i="30"/>
  <c r="E23" i="30" s="1"/>
  <c r="D8" i="30"/>
  <c r="D24" i="30" s="1"/>
  <c r="I8" i="30"/>
  <c r="I24" i="30" s="1"/>
  <c r="G9" i="30"/>
  <c r="G25" i="30" s="1"/>
  <c r="F10" i="30"/>
  <c r="F26" i="30" s="1"/>
  <c r="D11" i="30"/>
  <c r="D27" i="30" s="1"/>
  <c r="I11" i="30"/>
  <c r="I27" i="30" s="1"/>
  <c r="H12" i="30"/>
  <c r="H28" i="30" s="1"/>
  <c r="F13" i="30"/>
  <c r="F29" i="30" s="1"/>
  <c r="D14" i="30"/>
  <c r="D30" i="30" s="1"/>
  <c r="J14" i="30"/>
  <c r="J30" i="30" s="1"/>
  <c r="H15" i="30"/>
  <c r="H31" i="30" s="1"/>
  <c r="F16" i="30"/>
  <c r="F32" i="30" s="1"/>
  <c r="E17" i="30"/>
  <c r="E33" i="30" s="1"/>
  <c r="J17" i="30"/>
  <c r="J33" i="30" s="1"/>
  <c r="D5" i="30"/>
  <c r="D21" i="30" s="1"/>
  <c r="H5" i="30"/>
  <c r="H21" i="30" s="1"/>
  <c r="E6" i="30"/>
  <c r="E22" i="30" s="1"/>
  <c r="I6" i="30"/>
  <c r="I22" i="30" s="1"/>
  <c r="F7" i="30"/>
  <c r="F23" i="30" s="1"/>
  <c r="J7" i="30"/>
  <c r="J23" i="30" s="1"/>
  <c r="G8" i="30"/>
  <c r="G24" i="30" s="1"/>
  <c r="D9" i="30"/>
  <c r="D25" i="30" s="1"/>
  <c r="H9" i="30"/>
  <c r="H25" i="30" s="1"/>
  <c r="E10" i="30"/>
  <c r="E26" i="30" s="1"/>
  <c r="I10" i="30"/>
  <c r="I26" i="30" s="1"/>
  <c r="F11" i="30"/>
  <c r="F27" i="30" s="1"/>
  <c r="J11" i="30"/>
  <c r="J27" i="30" s="1"/>
  <c r="G12" i="30"/>
  <c r="G28" i="30" s="1"/>
  <c r="D13" i="30"/>
  <c r="D29" i="30" s="1"/>
  <c r="H13" i="30"/>
  <c r="H29" i="30" s="1"/>
  <c r="E14" i="30"/>
  <c r="E30" i="30" s="1"/>
  <c r="I14" i="30"/>
  <c r="I30" i="30" s="1"/>
  <c r="F15" i="30"/>
  <c r="F31" i="30" s="1"/>
  <c r="J15" i="30"/>
  <c r="J31" i="30" s="1"/>
  <c r="G16" i="30"/>
  <c r="G32" i="30" s="1"/>
  <c r="D17" i="30"/>
  <c r="D33" i="30" s="1"/>
  <c r="H17" i="30"/>
  <c r="H33" i="30" s="1"/>
  <c r="C34" i="30"/>
  <c r="D39" i="30"/>
  <c r="F39" i="30" s="1"/>
  <c r="D41" i="30"/>
  <c r="F41" i="30" s="1"/>
  <c r="C42" i="29"/>
  <c r="C41" i="29"/>
  <c r="C40" i="29"/>
  <c r="C39" i="29"/>
  <c r="C34" i="29"/>
  <c r="A34" i="29"/>
  <c r="C33" i="29"/>
  <c r="A33" i="29"/>
  <c r="C32" i="29"/>
  <c r="A32" i="29"/>
  <c r="C31" i="29"/>
  <c r="A31" i="29"/>
  <c r="C30" i="29"/>
  <c r="A30" i="29"/>
  <c r="C29" i="29"/>
  <c r="A29" i="29"/>
  <c r="C28" i="29"/>
  <c r="A28" i="29"/>
  <c r="C27" i="29"/>
  <c r="A27" i="29"/>
  <c r="C26" i="29"/>
  <c r="A26" i="29"/>
  <c r="C25" i="29"/>
  <c r="A25" i="29"/>
  <c r="C24" i="29"/>
  <c r="A24" i="29"/>
  <c r="C23" i="29"/>
  <c r="A23" i="29"/>
  <c r="C22" i="29"/>
  <c r="A22" i="29"/>
  <c r="J21" i="29"/>
  <c r="I21" i="29"/>
  <c r="H21" i="29"/>
  <c r="G21" i="29"/>
  <c r="F21" i="29"/>
  <c r="E21" i="29"/>
  <c r="D21" i="29"/>
  <c r="C19" i="29"/>
  <c r="D41" i="29" s="1"/>
  <c r="F41" i="29" s="1"/>
  <c r="F17" i="29"/>
  <c r="F33" i="29" s="1"/>
  <c r="I34" i="30" l="1"/>
  <c r="J34" i="30"/>
  <c r="H34" i="30"/>
  <c r="E34" i="30"/>
  <c r="D34" i="30"/>
  <c r="F34" i="30"/>
  <c r="G11" i="29"/>
  <c r="G27" i="29" s="1"/>
  <c r="J6" i="29"/>
  <c r="J22" i="29" s="1"/>
  <c r="I12" i="29"/>
  <c r="I28" i="29" s="1"/>
  <c r="I9" i="29"/>
  <c r="I25" i="29" s="1"/>
  <c r="D16" i="29"/>
  <c r="D32" i="29" s="1"/>
  <c r="E8" i="29"/>
  <c r="E24" i="29" s="1"/>
  <c r="F14" i="29"/>
  <c r="F30" i="29" s="1"/>
  <c r="D7" i="29"/>
  <c r="D23" i="29" s="1"/>
  <c r="H8" i="29"/>
  <c r="H24" i="29" s="1"/>
  <c r="F10" i="29"/>
  <c r="F26" i="29" s="1"/>
  <c r="H11" i="29"/>
  <c r="H27" i="29" s="1"/>
  <c r="E13" i="29"/>
  <c r="E29" i="29" s="1"/>
  <c r="J14" i="29"/>
  <c r="J30" i="29" s="1"/>
  <c r="E16" i="29"/>
  <c r="E32" i="29" s="1"/>
  <c r="I17" i="29"/>
  <c r="I33" i="29" s="1"/>
  <c r="G7" i="29"/>
  <c r="G23" i="29" s="1"/>
  <c r="E9" i="29"/>
  <c r="E25" i="29" s="1"/>
  <c r="G10" i="29"/>
  <c r="G26" i="29" s="1"/>
  <c r="D12" i="29"/>
  <c r="D28" i="29" s="1"/>
  <c r="I13" i="29"/>
  <c r="I29" i="29" s="1"/>
  <c r="D15" i="29"/>
  <c r="D31" i="29" s="1"/>
  <c r="H16" i="29"/>
  <c r="H32" i="29" s="1"/>
  <c r="F18" i="29"/>
  <c r="F34" i="29" s="1"/>
  <c r="F6" i="29"/>
  <c r="F22" i="29" s="1"/>
  <c r="D8" i="29"/>
  <c r="D24" i="29" s="1"/>
  <c r="F9" i="29"/>
  <c r="F25" i="29" s="1"/>
  <c r="J10" i="29"/>
  <c r="J26" i="29" s="1"/>
  <c r="H12" i="29"/>
  <c r="H28" i="29" s="1"/>
  <c r="J13" i="29"/>
  <c r="J29" i="29" s="1"/>
  <c r="G15" i="29"/>
  <c r="G31" i="29" s="1"/>
  <c r="E17" i="29"/>
  <c r="E33" i="29" s="1"/>
  <c r="J18" i="29"/>
  <c r="J34" i="29" s="1"/>
  <c r="G6" i="29"/>
  <c r="G22" i="29" s="1"/>
  <c r="H7" i="29"/>
  <c r="H23" i="29" s="1"/>
  <c r="I8" i="29"/>
  <c r="I24" i="29" s="1"/>
  <c r="J9" i="29"/>
  <c r="J25" i="29" s="1"/>
  <c r="D11" i="29"/>
  <c r="D27" i="29" s="1"/>
  <c r="E12" i="29"/>
  <c r="E28" i="29" s="1"/>
  <c r="F13" i="29"/>
  <c r="F29" i="29" s="1"/>
  <c r="G14" i="29"/>
  <c r="G30" i="29" s="1"/>
  <c r="H15" i="29"/>
  <c r="H31" i="29" s="1"/>
  <c r="I16" i="29"/>
  <c r="I32" i="29" s="1"/>
  <c r="J17" i="29"/>
  <c r="J33" i="29" s="1"/>
  <c r="C35" i="29"/>
  <c r="H6" i="29"/>
  <c r="H22" i="29" s="1"/>
  <c r="I7" i="29"/>
  <c r="I23" i="29" s="1"/>
  <c r="J8" i="29"/>
  <c r="J24" i="29" s="1"/>
  <c r="G9" i="29"/>
  <c r="G25" i="29" s="1"/>
  <c r="D10" i="29"/>
  <c r="D26" i="29" s="1"/>
  <c r="H10" i="29"/>
  <c r="H26" i="29" s="1"/>
  <c r="E11" i="29"/>
  <c r="E27" i="29" s="1"/>
  <c r="I11" i="29"/>
  <c r="I27" i="29" s="1"/>
  <c r="F12" i="29"/>
  <c r="F28" i="29" s="1"/>
  <c r="J12" i="29"/>
  <c r="J28" i="29" s="1"/>
  <c r="G13" i="29"/>
  <c r="G29" i="29" s="1"/>
  <c r="D14" i="29"/>
  <c r="D30" i="29" s="1"/>
  <c r="H14" i="29"/>
  <c r="H30" i="29" s="1"/>
  <c r="E15" i="29"/>
  <c r="E31" i="29" s="1"/>
  <c r="I15" i="29"/>
  <c r="I31" i="29" s="1"/>
  <c r="F16" i="29"/>
  <c r="F32" i="29" s="1"/>
  <c r="J16" i="29"/>
  <c r="J32" i="29" s="1"/>
  <c r="G17" i="29"/>
  <c r="G33" i="29" s="1"/>
  <c r="D18" i="29"/>
  <c r="D34" i="29" s="1"/>
  <c r="H18" i="29"/>
  <c r="H34" i="29" s="1"/>
  <c r="D40" i="29"/>
  <c r="F40" i="29" s="1"/>
  <c r="G18" i="29"/>
  <c r="G34" i="29" s="1"/>
  <c r="D6" i="29"/>
  <c r="D22" i="29" s="1"/>
  <c r="E7" i="29"/>
  <c r="E23" i="29" s="1"/>
  <c r="F8" i="29"/>
  <c r="F24" i="29" s="1"/>
  <c r="E6" i="29"/>
  <c r="E22" i="29" s="1"/>
  <c r="I6" i="29"/>
  <c r="I22" i="29" s="1"/>
  <c r="F7" i="29"/>
  <c r="F23" i="29" s="1"/>
  <c r="J7" i="29"/>
  <c r="J23" i="29" s="1"/>
  <c r="G8" i="29"/>
  <c r="G24" i="29" s="1"/>
  <c r="D9" i="29"/>
  <c r="D25" i="29" s="1"/>
  <c r="H9" i="29"/>
  <c r="H25" i="29" s="1"/>
  <c r="E10" i="29"/>
  <c r="E26" i="29" s="1"/>
  <c r="I10" i="29"/>
  <c r="I26" i="29" s="1"/>
  <c r="F11" i="29"/>
  <c r="F27" i="29" s="1"/>
  <c r="J11" i="29"/>
  <c r="J27" i="29" s="1"/>
  <c r="G12" i="29"/>
  <c r="G28" i="29" s="1"/>
  <c r="D13" i="29"/>
  <c r="D29" i="29" s="1"/>
  <c r="H13" i="29"/>
  <c r="H29" i="29" s="1"/>
  <c r="E14" i="29"/>
  <c r="E30" i="29" s="1"/>
  <c r="I14" i="29"/>
  <c r="I30" i="29" s="1"/>
  <c r="F15" i="29"/>
  <c r="F31" i="29" s="1"/>
  <c r="J15" i="29"/>
  <c r="J31" i="29" s="1"/>
  <c r="G16" i="29"/>
  <c r="G32" i="29" s="1"/>
  <c r="D17" i="29"/>
  <c r="D33" i="29" s="1"/>
  <c r="H17" i="29"/>
  <c r="H33" i="29" s="1"/>
  <c r="E18" i="29"/>
  <c r="E34" i="29" s="1"/>
  <c r="I18" i="29"/>
  <c r="I34" i="29" s="1"/>
  <c r="D39" i="29"/>
  <c r="F39" i="29" s="1"/>
  <c r="D42" i="29"/>
  <c r="F42" i="29" s="1"/>
  <c r="C53" i="28"/>
  <c r="A53" i="28"/>
  <c r="C34" i="28"/>
  <c r="C35" i="28"/>
  <c r="C36" i="28"/>
  <c r="C37" i="28"/>
  <c r="C38" i="28"/>
  <c r="C39" i="28"/>
  <c r="C40" i="28"/>
  <c r="C41" i="28"/>
  <c r="C42" i="28"/>
  <c r="C43" i="28"/>
  <c r="A34" i="28"/>
  <c r="A35" i="28"/>
  <c r="A36" i="28"/>
  <c r="A37" i="28"/>
  <c r="A38" i="28"/>
  <c r="A39" i="28"/>
  <c r="A40" i="28"/>
  <c r="A41" i="28"/>
  <c r="A42" i="28"/>
  <c r="A43" i="28"/>
  <c r="C64" i="28"/>
  <c r="C63" i="28"/>
  <c r="C62" i="28"/>
  <c r="C61" i="28"/>
  <c r="C60" i="28"/>
  <c r="C55" i="28"/>
  <c r="A55" i="28"/>
  <c r="C54" i="28"/>
  <c r="A54" i="28"/>
  <c r="C52" i="28"/>
  <c r="A52" i="28"/>
  <c r="C51" i="28"/>
  <c r="A51" i="28"/>
  <c r="C50" i="28"/>
  <c r="A50" i="28"/>
  <c r="C49" i="28"/>
  <c r="A49" i="28"/>
  <c r="C48" i="28"/>
  <c r="A48" i="28"/>
  <c r="C47" i="28"/>
  <c r="A47" i="28"/>
  <c r="C46" i="28"/>
  <c r="A46" i="28"/>
  <c r="C45" i="28"/>
  <c r="A45" i="28"/>
  <c r="C44" i="28"/>
  <c r="A44" i="28"/>
  <c r="C33" i="28"/>
  <c r="A33" i="28"/>
  <c r="C32" i="28"/>
  <c r="A32" i="28"/>
  <c r="J31" i="28"/>
  <c r="I31" i="28"/>
  <c r="H31" i="28"/>
  <c r="G31" i="28"/>
  <c r="F31" i="28"/>
  <c r="E31" i="28"/>
  <c r="D31" i="28"/>
  <c r="C29" i="28"/>
  <c r="G9" i="28" s="1"/>
  <c r="G36" i="28" s="1"/>
  <c r="I24" i="28"/>
  <c r="I51" i="28" s="1"/>
  <c r="F24" i="28"/>
  <c r="F51" i="28" s="1"/>
  <c r="G22" i="28"/>
  <c r="G49" i="28" s="1"/>
  <c r="E20" i="28"/>
  <c r="E47" i="28" s="1"/>
  <c r="I19" i="28"/>
  <c r="I46" i="28" s="1"/>
  <c r="J17" i="28"/>
  <c r="J44" i="28" s="1"/>
  <c r="H5" i="28"/>
  <c r="H32" i="28" s="1"/>
  <c r="E5" i="28"/>
  <c r="E32" i="28" s="1"/>
  <c r="C41" i="27"/>
  <c r="C40" i="27"/>
  <c r="C39" i="27"/>
  <c r="C38" i="27"/>
  <c r="C33" i="27"/>
  <c r="A33" i="27"/>
  <c r="C32" i="27"/>
  <c r="A32" i="27"/>
  <c r="C31" i="27"/>
  <c r="A31" i="27"/>
  <c r="C30" i="27"/>
  <c r="A30" i="27"/>
  <c r="C29" i="27"/>
  <c r="A29" i="27"/>
  <c r="C28" i="27"/>
  <c r="A28" i="27"/>
  <c r="C27" i="27"/>
  <c r="A27" i="27"/>
  <c r="C26" i="27"/>
  <c r="A26" i="27"/>
  <c r="C25" i="27"/>
  <c r="A25" i="27"/>
  <c r="C24" i="27"/>
  <c r="A24" i="27"/>
  <c r="C23" i="27"/>
  <c r="A23" i="27"/>
  <c r="C22" i="27"/>
  <c r="A22" i="27"/>
  <c r="C21" i="27"/>
  <c r="A21" i="27"/>
  <c r="J20" i="27"/>
  <c r="I20" i="27"/>
  <c r="H20" i="27"/>
  <c r="G20" i="27"/>
  <c r="F20" i="27"/>
  <c r="E20" i="27"/>
  <c r="D20" i="27"/>
  <c r="C18" i="27"/>
  <c r="G16" i="27" s="1"/>
  <c r="G32" i="27" s="1"/>
  <c r="H17" i="27"/>
  <c r="H33" i="27" s="1"/>
  <c r="J16" i="27"/>
  <c r="J32" i="27" s="1"/>
  <c r="I15" i="27"/>
  <c r="I31" i="27" s="1"/>
  <c r="F15" i="27"/>
  <c r="F31" i="27" s="1"/>
  <c r="H14" i="27"/>
  <c r="H30" i="27" s="1"/>
  <c r="G13" i="27"/>
  <c r="G29" i="27" s="1"/>
  <c r="E13" i="27"/>
  <c r="E29" i="27" s="1"/>
  <c r="H12" i="27"/>
  <c r="H28" i="27" s="1"/>
  <c r="J11" i="27"/>
  <c r="J27" i="27" s="1"/>
  <c r="I11" i="27"/>
  <c r="I27" i="27" s="1"/>
  <c r="E11" i="27"/>
  <c r="E27" i="27" s="1"/>
  <c r="F10" i="27"/>
  <c r="F26" i="27" s="1"/>
  <c r="E10" i="27"/>
  <c r="E26" i="27" s="1"/>
  <c r="H9" i="27"/>
  <c r="H25" i="27" s="1"/>
  <c r="J8" i="27"/>
  <c r="J24" i="27" s="1"/>
  <c r="H8" i="27"/>
  <c r="H24" i="27" s="1"/>
  <c r="D8" i="27"/>
  <c r="D24" i="27" s="1"/>
  <c r="F7" i="27"/>
  <c r="F23" i="27" s="1"/>
  <c r="E7" i="27"/>
  <c r="E23" i="27" s="1"/>
  <c r="H6" i="27"/>
  <c r="H22" i="27" s="1"/>
  <c r="I5" i="27"/>
  <c r="I21" i="27" s="1"/>
  <c r="H5" i="27"/>
  <c r="H21" i="27" s="1"/>
  <c r="D5" i="27"/>
  <c r="D21" i="27" s="1"/>
  <c r="C41" i="26"/>
  <c r="C40" i="26"/>
  <c r="C39" i="26"/>
  <c r="C38" i="26"/>
  <c r="C33" i="26"/>
  <c r="A33" i="26"/>
  <c r="C32" i="26"/>
  <c r="A32" i="26"/>
  <c r="C31" i="26"/>
  <c r="A31" i="26"/>
  <c r="C30" i="26"/>
  <c r="A30" i="26"/>
  <c r="C29" i="26"/>
  <c r="A29" i="26"/>
  <c r="C28" i="26"/>
  <c r="A28" i="26"/>
  <c r="C27" i="26"/>
  <c r="A27" i="26"/>
  <c r="C26" i="26"/>
  <c r="A26" i="26"/>
  <c r="C25" i="26"/>
  <c r="A25" i="26"/>
  <c r="C24" i="26"/>
  <c r="A24" i="26"/>
  <c r="C23" i="26"/>
  <c r="A23" i="26"/>
  <c r="C22" i="26"/>
  <c r="A22" i="26"/>
  <c r="C21" i="26"/>
  <c r="A21" i="26"/>
  <c r="J20" i="26"/>
  <c r="I20" i="26"/>
  <c r="H20" i="26"/>
  <c r="G20" i="26"/>
  <c r="F20" i="26"/>
  <c r="E20" i="26"/>
  <c r="D20" i="26"/>
  <c r="C18" i="26"/>
  <c r="D40" i="26" s="1"/>
  <c r="F40" i="26" s="1"/>
  <c r="H16" i="26"/>
  <c r="H32" i="26" s="1"/>
  <c r="D15" i="26"/>
  <c r="D31" i="26" s="1"/>
  <c r="H13" i="26"/>
  <c r="H29" i="26" s="1"/>
  <c r="G12" i="26"/>
  <c r="G28" i="26" s="1"/>
  <c r="F11" i="26"/>
  <c r="F27" i="26" s="1"/>
  <c r="E10" i="26"/>
  <c r="E26" i="26" s="1"/>
  <c r="D9" i="26"/>
  <c r="D25" i="26" s="1"/>
  <c r="J7" i="26"/>
  <c r="J23" i="26" s="1"/>
  <c r="I6" i="26"/>
  <c r="I22" i="26" s="1"/>
  <c r="H5" i="26"/>
  <c r="H21" i="26" s="1"/>
  <c r="J35" i="29" l="1"/>
  <c r="F35" i="29"/>
  <c r="G35" i="29"/>
  <c r="D35" i="29"/>
  <c r="H35" i="29"/>
  <c r="I35" i="29"/>
  <c r="E35" i="29"/>
  <c r="G17" i="28"/>
  <c r="G44" i="28" s="1"/>
  <c r="D22" i="28"/>
  <c r="D49" i="28" s="1"/>
  <c r="D28" i="28"/>
  <c r="D55" i="28" s="1"/>
  <c r="D60" i="28"/>
  <c r="F60" i="28" s="1"/>
  <c r="D63" i="28"/>
  <c r="F63" i="28" s="1"/>
  <c r="D26" i="28"/>
  <c r="D53" i="28" s="1"/>
  <c r="E26" i="28"/>
  <c r="E53" i="28" s="1"/>
  <c r="F26" i="28"/>
  <c r="F53" i="28" s="1"/>
  <c r="F6" i="28"/>
  <c r="F33" i="28" s="1"/>
  <c r="H18" i="28"/>
  <c r="H45" i="28" s="1"/>
  <c r="J20" i="28"/>
  <c r="J47" i="28" s="1"/>
  <c r="E23" i="28"/>
  <c r="E50" i="28" s="1"/>
  <c r="G25" i="28"/>
  <c r="G52" i="28" s="1"/>
  <c r="D11" i="28"/>
  <c r="D38" i="28" s="1"/>
  <c r="I6" i="28"/>
  <c r="I33" i="28" s="1"/>
  <c r="D19" i="28"/>
  <c r="D46" i="28" s="1"/>
  <c r="F21" i="28"/>
  <c r="F48" i="28" s="1"/>
  <c r="H23" i="28"/>
  <c r="H50" i="28" s="1"/>
  <c r="D27" i="28"/>
  <c r="D54" i="28" s="1"/>
  <c r="F15" i="28"/>
  <c r="F42" i="28" s="1"/>
  <c r="D10" i="28"/>
  <c r="D37" i="28" s="1"/>
  <c r="F7" i="28"/>
  <c r="F34" i="28" s="1"/>
  <c r="I5" i="28"/>
  <c r="I32" i="28" s="1"/>
  <c r="J6" i="28"/>
  <c r="J33" i="28" s="1"/>
  <c r="D18" i="28"/>
  <c r="D45" i="28" s="1"/>
  <c r="E19" i="28"/>
  <c r="E46" i="28" s="1"/>
  <c r="F20" i="28"/>
  <c r="F47" i="28" s="1"/>
  <c r="G21" i="28"/>
  <c r="G48" i="28" s="1"/>
  <c r="H22" i="28"/>
  <c r="H49" i="28" s="1"/>
  <c r="I23" i="28"/>
  <c r="I50" i="28" s="1"/>
  <c r="J24" i="28"/>
  <c r="J51" i="28" s="1"/>
  <c r="F27" i="28"/>
  <c r="F54" i="28" s="1"/>
  <c r="E13" i="28"/>
  <c r="E40" i="28" s="1"/>
  <c r="G13" i="28"/>
  <c r="G40" i="28" s="1"/>
  <c r="D5" i="28"/>
  <c r="D32" i="28" s="1"/>
  <c r="E6" i="28"/>
  <c r="E33" i="28" s="1"/>
  <c r="F17" i="28"/>
  <c r="F44" i="28" s="1"/>
  <c r="G18" i="28"/>
  <c r="G45" i="28" s="1"/>
  <c r="H19" i="28"/>
  <c r="H46" i="28" s="1"/>
  <c r="I20" i="28"/>
  <c r="I47" i="28" s="1"/>
  <c r="J21" i="28"/>
  <c r="J48" i="28" s="1"/>
  <c r="D23" i="28"/>
  <c r="D50" i="28" s="1"/>
  <c r="E24" i="28"/>
  <c r="E51" i="28" s="1"/>
  <c r="F25" i="28"/>
  <c r="F52" i="28" s="1"/>
  <c r="J27" i="28"/>
  <c r="J54" i="28" s="1"/>
  <c r="D14" i="28"/>
  <c r="D41" i="28" s="1"/>
  <c r="E9" i="28"/>
  <c r="E36" i="28" s="1"/>
  <c r="D62" i="28"/>
  <c r="F62" i="28" s="1"/>
  <c r="G10" i="28"/>
  <c r="G37" i="28" s="1"/>
  <c r="G14" i="28"/>
  <c r="G41" i="28" s="1"/>
  <c r="F8" i="28"/>
  <c r="F35" i="28" s="1"/>
  <c r="F12" i="28"/>
  <c r="F39" i="28" s="1"/>
  <c r="F16" i="28"/>
  <c r="F43" i="28" s="1"/>
  <c r="E10" i="28"/>
  <c r="E37" i="28" s="1"/>
  <c r="E14" i="28"/>
  <c r="E41" i="28" s="1"/>
  <c r="D8" i="28"/>
  <c r="D35" i="28" s="1"/>
  <c r="D12" i="28"/>
  <c r="D39" i="28" s="1"/>
  <c r="D16" i="28"/>
  <c r="D43" i="28" s="1"/>
  <c r="H28" i="28"/>
  <c r="H55" i="28" s="1"/>
  <c r="H27" i="28"/>
  <c r="H54" i="28" s="1"/>
  <c r="J25" i="28"/>
  <c r="J52" i="28" s="1"/>
  <c r="E25" i="28"/>
  <c r="E52" i="28" s="1"/>
  <c r="H24" i="28"/>
  <c r="H51" i="28" s="1"/>
  <c r="D24" i="28"/>
  <c r="D51" i="28" s="1"/>
  <c r="G23" i="28"/>
  <c r="G50" i="28" s="1"/>
  <c r="J22" i="28"/>
  <c r="J49" i="28" s="1"/>
  <c r="F22" i="28"/>
  <c r="F49" i="28" s="1"/>
  <c r="I21" i="28"/>
  <c r="I48" i="28" s="1"/>
  <c r="E21" i="28"/>
  <c r="E48" i="28" s="1"/>
  <c r="H20" i="28"/>
  <c r="H47" i="28" s="1"/>
  <c r="D20" i="28"/>
  <c r="D47" i="28" s="1"/>
  <c r="G19" i="28"/>
  <c r="G46" i="28" s="1"/>
  <c r="J18" i="28"/>
  <c r="J45" i="28" s="1"/>
  <c r="F18" i="28"/>
  <c r="F45" i="28" s="1"/>
  <c r="I17" i="28"/>
  <c r="I44" i="28" s="1"/>
  <c r="E17" i="28"/>
  <c r="E44" i="28" s="1"/>
  <c r="H6" i="28"/>
  <c r="H33" i="28" s="1"/>
  <c r="D6" i="28"/>
  <c r="D33" i="28" s="1"/>
  <c r="G5" i="28"/>
  <c r="G32" i="28" s="1"/>
  <c r="G7" i="28"/>
  <c r="G34" i="28" s="1"/>
  <c r="G11" i="28"/>
  <c r="G38" i="28" s="1"/>
  <c r="G15" i="28"/>
  <c r="G42" i="28" s="1"/>
  <c r="F9" i="28"/>
  <c r="F36" i="28" s="1"/>
  <c r="F13" i="28"/>
  <c r="F40" i="28" s="1"/>
  <c r="E7" i="28"/>
  <c r="E34" i="28" s="1"/>
  <c r="E11" i="28"/>
  <c r="E38" i="28" s="1"/>
  <c r="E15" i="28"/>
  <c r="E42" i="28" s="1"/>
  <c r="D9" i="28"/>
  <c r="D36" i="28" s="1"/>
  <c r="D13" i="28"/>
  <c r="D40" i="28" s="1"/>
  <c r="G28" i="28"/>
  <c r="G55" i="28" s="1"/>
  <c r="G27" i="28"/>
  <c r="G54" i="28" s="1"/>
  <c r="I25" i="28"/>
  <c r="I52" i="28" s="1"/>
  <c r="D25" i="28"/>
  <c r="D52" i="28" s="1"/>
  <c r="G24" i="28"/>
  <c r="G51" i="28" s="1"/>
  <c r="J23" i="28"/>
  <c r="J50" i="28" s="1"/>
  <c r="F23" i="28"/>
  <c r="F50" i="28" s="1"/>
  <c r="I22" i="28"/>
  <c r="I49" i="28" s="1"/>
  <c r="E22" i="28"/>
  <c r="E49" i="28" s="1"/>
  <c r="H21" i="28"/>
  <c r="H48" i="28" s="1"/>
  <c r="D21" i="28"/>
  <c r="D48" i="28" s="1"/>
  <c r="G20" i="28"/>
  <c r="G47" i="28" s="1"/>
  <c r="J19" i="28"/>
  <c r="J46" i="28" s="1"/>
  <c r="F19" i="28"/>
  <c r="F46" i="28" s="1"/>
  <c r="I18" i="28"/>
  <c r="I45" i="28" s="1"/>
  <c r="E18" i="28"/>
  <c r="E45" i="28" s="1"/>
  <c r="H17" i="28"/>
  <c r="H44" i="28" s="1"/>
  <c r="D17" i="28"/>
  <c r="D44" i="28" s="1"/>
  <c r="G6" i="28"/>
  <c r="G33" i="28" s="1"/>
  <c r="J5" i="28"/>
  <c r="J32" i="28" s="1"/>
  <c r="F5" i="28"/>
  <c r="F32" i="28" s="1"/>
  <c r="G8" i="28"/>
  <c r="G35" i="28" s="1"/>
  <c r="G12" i="28"/>
  <c r="G39" i="28" s="1"/>
  <c r="G16" i="28"/>
  <c r="G43" i="28" s="1"/>
  <c r="F10" i="28"/>
  <c r="F37" i="28" s="1"/>
  <c r="F14" i="28"/>
  <c r="F41" i="28" s="1"/>
  <c r="E8" i="28"/>
  <c r="E35" i="28" s="1"/>
  <c r="E12" i="28"/>
  <c r="E39" i="28" s="1"/>
  <c r="E16" i="28"/>
  <c r="E43" i="28" s="1"/>
  <c r="D15" i="28"/>
  <c r="D42" i="28" s="1"/>
  <c r="D7" i="28"/>
  <c r="D34" i="28" s="1"/>
  <c r="F11" i="28"/>
  <c r="F38" i="28" s="1"/>
  <c r="C56" i="28"/>
  <c r="E28" i="28"/>
  <c r="E55" i="28" s="1"/>
  <c r="I28" i="28"/>
  <c r="I55" i="28" s="1"/>
  <c r="H25" i="28"/>
  <c r="H52" i="28" s="1"/>
  <c r="E27" i="28"/>
  <c r="E54" i="28" s="1"/>
  <c r="I27" i="28"/>
  <c r="I54" i="28" s="1"/>
  <c r="F28" i="28"/>
  <c r="F55" i="28" s="1"/>
  <c r="J28" i="28"/>
  <c r="J55" i="28" s="1"/>
  <c r="D64" i="28"/>
  <c r="F64" i="28" s="1"/>
  <c r="D61" i="28"/>
  <c r="F61" i="28" s="1"/>
  <c r="C34" i="27"/>
  <c r="D40" i="27"/>
  <c r="F40" i="27" s="1"/>
  <c r="F6" i="27"/>
  <c r="F22" i="27" s="1"/>
  <c r="J7" i="27"/>
  <c r="J23" i="27" s="1"/>
  <c r="G9" i="27"/>
  <c r="G25" i="27" s="1"/>
  <c r="J10" i="27"/>
  <c r="J26" i="27" s="1"/>
  <c r="G12" i="27"/>
  <c r="G28" i="27" s="1"/>
  <c r="E14" i="27"/>
  <c r="E30" i="27" s="1"/>
  <c r="D41" i="27"/>
  <c r="F41" i="27" s="1"/>
  <c r="J17" i="27"/>
  <c r="J33" i="27" s="1"/>
  <c r="F17" i="27"/>
  <c r="F33" i="27" s="1"/>
  <c r="I16" i="27"/>
  <c r="I32" i="27" s="1"/>
  <c r="E16" i="27"/>
  <c r="E32" i="27" s="1"/>
  <c r="H15" i="27"/>
  <c r="H31" i="27" s="1"/>
  <c r="D15" i="27"/>
  <c r="D31" i="27" s="1"/>
  <c r="G14" i="27"/>
  <c r="G30" i="27" s="1"/>
  <c r="J13" i="27"/>
  <c r="J29" i="27" s="1"/>
  <c r="F13" i="27"/>
  <c r="F29" i="27" s="1"/>
  <c r="I12" i="27"/>
  <c r="I28" i="27" s="1"/>
  <c r="E12" i="27"/>
  <c r="E28" i="27" s="1"/>
  <c r="H11" i="27"/>
  <c r="H27" i="27" s="1"/>
  <c r="D11" i="27"/>
  <c r="D27" i="27" s="1"/>
  <c r="G10" i="27"/>
  <c r="G26" i="27" s="1"/>
  <c r="J9" i="27"/>
  <c r="J25" i="27" s="1"/>
  <c r="F9" i="27"/>
  <c r="F25" i="27" s="1"/>
  <c r="I8" i="27"/>
  <c r="I24" i="27" s="1"/>
  <c r="E8" i="27"/>
  <c r="E24" i="27" s="1"/>
  <c r="H7" i="27"/>
  <c r="H23" i="27" s="1"/>
  <c r="D7" i="27"/>
  <c r="D23" i="27" s="1"/>
  <c r="G6" i="27"/>
  <c r="G22" i="27" s="1"/>
  <c r="J5" i="27"/>
  <c r="J21" i="27" s="1"/>
  <c r="F5" i="27"/>
  <c r="F21" i="27" s="1"/>
  <c r="D38" i="27"/>
  <c r="F38" i="27" s="1"/>
  <c r="I17" i="27"/>
  <c r="I33" i="27" s="1"/>
  <c r="E17" i="27"/>
  <c r="E33" i="27" s="1"/>
  <c r="H16" i="27"/>
  <c r="H32" i="27" s="1"/>
  <c r="D16" i="27"/>
  <c r="D32" i="27" s="1"/>
  <c r="G15" i="27"/>
  <c r="G31" i="27" s="1"/>
  <c r="J14" i="27"/>
  <c r="J30" i="27" s="1"/>
  <c r="F14" i="27"/>
  <c r="F30" i="27" s="1"/>
  <c r="I13" i="27"/>
  <c r="I29" i="27" s="1"/>
  <c r="E5" i="27"/>
  <c r="E21" i="27" s="1"/>
  <c r="D6" i="27"/>
  <c r="D22" i="27" s="1"/>
  <c r="I6" i="27"/>
  <c r="I22" i="27" s="1"/>
  <c r="I34" i="27" s="1"/>
  <c r="G7" i="27"/>
  <c r="G23" i="27" s="1"/>
  <c r="F8" i="27"/>
  <c r="F24" i="27" s="1"/>
  <c r="D9" i="27"/>
  <c r="D25" i="27" s="1"/>
  <c r="I9" i="27"/>
  <c r="I25" i="27" s="1"/>
  <c r="H10" i="27"/>
  <c r="H26" i="27" s="1"/>
  <c r="F11" i="27"/>
  <c r="F27" i="27" s="1"/>
  <c r="D12" i="27"/>
  <c r="D28" i="27" s="1"/>
  <c r="J12" i="27"/>
  <c r="J28" i="27" s="1"/>
  <c r="H13" i="27"/>
  <c r="H29" i="27" s="1"/>
  <c r="I14" i="27"/>
  <c r="I30" i="27" s="1"/>
  <c r="J15" i="27"/>
  <c r="J31" i="27" s="1"/>
  <c r="D17" i="27"/>
  <c r="D33" i="27" s="1"/>
  <c r="D39" i="27"/>
  <c r="F39" i="27" s="1"/>
  <c r="G5" i="27"/>
  <c r="G21" i="27" s="1"/>
  <c r="E6" i="27"/>
  <c r="E22" i="27" s="1"/>
  <c r="J6" i="27"/>
  <c r="J22" i="27" s="1"/>
  <c r="I7" i="27"/>
  <c r="I23" i="27" s="1"/>
  <c r="G8" i="27"/>
  <c r="G24" i="27" s="1"/>
  <c r="E9" i="27"/>
  <c r="E25" i="27" s="1"/>
  <c r="D10" i="27"/>
  <c r="D26" i="27" s="1"/>
  <c r="I10" i="27"/>
  <c r="I26" i="27" s="1"/>
  <c r="G11" i="27"/>
  <c r="G27" i="27" s="1"/>
  <c r="F12" i="27"/>
  <c r="F28" i="27" s="1"/>
  <c r="D13" i="27"/>
  <c r="D29" i="27" s="1"/>
  <c r="D14" i="27"/>
  <c r="D30" i="27" s="1"/>
  <c r="E15" i="27"/>
  <c r="E31" i="27" s="1"/>
  <c r="F16" i="27"/>
  <c r="F32" i="27" s="1"/>
  <c r="G17" i="27"/>
  <c r="G33" i="27" s="1"/>
  <c r="D38" i="26"/>
  <c r="F38" i="26" s="1"/>
  <c r="D6" i="26"/>
  <c r="D22" i="26" s="1"/>
  <c r="E7" i="26"/>
  <c r="E23" i="26" s="1"/>
  <c r="F8" i="26"/>
  <c r="F24" i="26" s="1"/>
  <c r="G9" i="26"/>
  <c r="G25" i="26" s="1"/>
  <c r="H10" i="26"/>
  <c r="H26" i="26" s="1"/>
  <c r="I11" i="26"/>
  <c r="I27" i="26" s="1"/>
  <c r="J12" i="26"/>
  <c r="J28" i="26" s="1"/>
  <c r="D14" i="26"/>
  <c r="D30" i="26" s="1"/>
  <c r="H15" i="26"/>
  <c r="H31" i="26" s="1"/>
  <c r="E17" i="26"/>
  <c r="E33" i="26" s="1"/>
  <c r="D5" i="26"/>
  <c r="D21" i="26" s="1"/>
  <c r="E6" i="26"/>
  <c r="E22" i="26" s="1"/>
  <c r="F7" i="26"/>
  <c r="F23" i="26" s="1"/>
  <c r="G8" i="26"/>
  <c r="G24" i="26" s="1"/>
  <c r="H9" i="26"/>
  <c r="H25" i="26" s="1"/>
  <c r="I10" i="26"/>
  <c r="I26" i="26" s="1"/>
  <c r="J11" i="26"/>
  <c r="J27" i="26" s="1"/>
  <c r="D13" i="26"/>
  <c r="D29" i="26" s="1"/>
  <c r="F14" i="26"/>
  <c r="F30" i="26" s="1"/>
  <c r="I15" i="26"/>
  <c r="I31" i="26" s="1"/>
  <c r="F17" i="26"/>
  <c r="F33" i="26" s="1"/>
  <c r="G5" i="26"/>
  <c r="G21" i="26" s="1"/>
  <c r="H6" i="26"/>
  <c r="H22" i="26" s="1"/>
  <c r="I7" i="26"/>
  <c r="I23" i="26" s="1"/>
  <c r="J8" i="26"/>
  <c r="J24" i="26" s="1"/>
  <c r="D10" i="26"/>
  <c r="D26" i="26" s="1"/>
  <c r="E11" i="26"/>
  <c r="E27" i="26" s="1"/>
  <c r="F12" i="26"/>
  <c r="F28" i="26" s="1"/>
  <c r="G13" i="26"/>
  <c r="G29" i="26" s="1"/>
  <c r="J14" i="26"/>
  <c r="J30" i="26" s="1"/>
  <c r="F16" i="26"/>
  <c r="F32" i="26" s="1"/>
  <c r="J17" i="26"/>
  <c r="J33" i="26" s="1"/>
  <c r="E5" i="26"/>
  <c r="E21" i="26" s="1"/>
  <c r="I5" i="26"/>
  <c r="I21" i="26" s="1"/>
  <c r="F6" i="26"/>
  <c r="F22" i="26" s="1"/>
  <c r="J6" i="26"/>
  <c r="J22" i="26" s="1"/>
  <c r="G7" i="26"/>
  <c r="G23" i="26" s="1"/>
  <c r="D8" i="26"/>
  <c r="D24" i="26" s="1"/>
  <c r="H8" i="26"/>
  <c r="H24" i="26" s="1"/>
  <c r="E9" i="26"/>
  <c r="E25" i="26" s="1"/>
  <c r="I9" i="26"/>
  <c r="I25" i="26" s="1"/>
  <c r="F10" i="26"/>
  <c r="F26" i="26" s="1"/>
  <c r="J10" i="26"/>
  <c r="J26" i="26" s="1"/>
  <c r="G11" i="26"/>
  <c r="G27" i="26" s="1"/>
  <c r="D12" i="26"/>
  <c r="D28" i="26" s="1"/>
  <c r="H12" i="26"/>
  <c r="H28" i="26" s="1"/>
  <c r="E13" i="26"/>
  <c r="E29" i="26" s="1"/>
  <c r="I13" i="26"/>
  <c r="I29" i="26" s="1"/>
  <c r="G14" i="26"/>
  <c r="G30" i="26" s="1"/>
  <c r="E15" i="26"/>
  <c r="E31" i="26" s="1"/>
  <c r="D16" i="26"/>
  <c r="D32" i="26" s="1"/>
  <c r="I16" i="26"/>
  <c r="I32" i="26" s="1"/>
  <c r="G17" i="26"/>
  <c r="G33" i="26" s="1"/>
  <c r="C34" i="26"/>
  <c r="F5" i="26"/>
  <c r="F21" i="26" s="1"/>
  <c r="J5" i="26"/>
  <c r="J21" i="26" s="1"/>
  <c r="G6" i="26"/>
  <c r="G22" i="26" s="1"/>
  <c r="D7" i="26"/>
  <c r="D23" i="26" s="1"/>
  <c r="H7" i="26"/>
  <c r="H23" i="26" s="1"/>
  <c r="E8" i="26"/>
  <c r="E24" i="26" s="1"/>
  <c r="I8" i="26"/>
  <c r="I24" i="26" s="1"/>
  <c r="F9" i="26"/>
  <c r="F25" i="26" s="1"/>
  <c r="J9" i="26"/>
  <c r="J25" i="26" s="1"/>
  <c r="G10" i="26"/>
  <c r="G26" i="26" s="1"/>
  <c r="D11" i="26"/>
  <c r="D27" i="26" s="1"/>
  <c r="H11" i="26"/>
  <c r="H27" i="26" s="1"/>
  <c r="E12" i="26"/>
  <c r="E28" i="26" s="1"/>
  <c r="I12" i="26"/>
  <c r="I28" i="26" s="1"/>
  <c r="F13" i="26"/>
  <c r="F29" i="26" s="1"/>
  <c r="J13" i="26"/>
  <c r="J29" i="26" s="1"/>
  <c r="H14" i="26"/>
  <c r="H30" i="26" s="1"/>
  <c r="G15" i="26"/>
  <c r="G31" i="26" s="1"/>
  <c r="E16" i="26"/>
  <c r="E32" i="26" s="1"/>
  <c r="J16" i="26"/>
  <c r="J32" i="26" s="1"/>
  <c r="I17" i="26"/>
  <c r="I33" i="26" s="1"/>
  <c r="E14" i="26"/>
  <c r="E30" i="26" s="1"/>
  <c r="I14" i="26"/>
  <c r="I30" i="26" s="1"/>
  <c r="F15" i="26"/>
  <c r="F31" i="26" s="1"/>
  <c r="J15" i="26"/>
  <c r="J31" i="26" s="1"/>
  <c r="G16" i="26"/>
  <c r="G32" i="26" s="1"/>
  <c r="D17" i="26"/>
  <c r="D33" i="26" s="1"/>
  <c r="H17" i="26"/>
  <c r="H33" i="26" s="1"/>
  <c r="D39" i="26"/>
  <c r="F39" i="26" s="1"/>
  <c r="D41" i="26"/>
  <c r="F41" i="26" s="1"/>
  <c r="C43" i="25"/>
  <c r="C42" i="25"/>
  <c r="C41" i="25"/>
  <c r="C40" i="25"/>
  <c r="C39" i="25"/>
  <c r="C38" i="25"/>
  <c r="C33" i="25"/>
  <c r="A33" i="25"/>
  <c r="C32" i="25"/>
  <c r="A32" i="25"/>
  <c r="C31" i="25"/>
  <c r="A31" i="25"/>
  <c r="C30" i="25"/>
  <c r="A30" i="25"/>
  <c r="C29" i="25"/>
  <c r="A29" i="25"/>
  <c r="C28" i="25"/>
  <c r="A28" i="25"/>
  <c r="C27" i="25"/>
  <c r="A27" i="25"/>
  <c r="C26" i="25"/>
  <c r="A26" i="25"/>
  <c r="C25" i="25"/>
  <c r="A25" i="25"/>
  <c r="C24" i="25"/>
  <c r="A24" i="25"/>
  <c r="C23" i="25"/>
  <c r="A23" i="25"/>
  <c r="C22" i="25"/>
  <c r="A22" i="25"/>
  <c r="C21" i="25"/>
  <c r="A21" i="25"/>
  <c r="J20" i="25"/>
  <c r="I20" i="25"/>
  <c r="H20" i="25"/>
  <c r="G20" i="25"/>
  <c r="F20" i="25"/>
  <c r="E20" i="25"/>
  <c r="D20" i="25"/>
  <c r="C18" i="25"/>
  <c r="D39" i="25" s="1"/>
  <c r="J17" i="25"/>
  <c r="J33" i="25" s="1"/>
  <c r="E15" i="25"/>
  <c r="E31" i="25" s="1"/>
  <c r="H14" i="25"/>
  <c r="H30" i="25" s="1"/>
  <c r="F12" i="25"/>
  <c r="F28" i="25" s="1"/>
  <c r="E12" i="25"/>
  <c r="E28" i="25" s="1"/>
  <c r="E10" i="25"/>
  <c r="E26" i="25" s="1"/>
  <c r="D10" i="25"/>
  <c r="D26" i="25" s="1"/>
  <c r="F8" i="25"/>
  <c r="F24" i="25" s="1"/>
  <c r="J7" i="25"/>
  <c r="J23" i="25" s="1"/>
  <c r="E6" i="25"/>
  <c r="E22" i="25" s="1"/>
  <c r="D6" i="25"/>
  <c r="D22" i="25" s="1"/>
  <c r="E56" i="28" l="1"/>
  <c r="J56" i="28"/>
  <c r="F56" i="28"/>
  <c r="H56" i="28"/>
  <c r="G56" i="28"/>
  <c r="I56" i="28"/>
  <c r="D56" i="28"/>
  <c r="D34" i="27"/>
  <c r="H34" i="27"/>
  <c r="F34" i="27"/>
  <c r="J34" i="27"/>
  <c r="G34" i="27"/>
  <c r="E34" i="27"/>
  <c r="F34" i="26"/>
  <c r="D34" i="26"/>
  <c r="I34" i="26"/>
  <c r="G34" i="26"/>
  <c r="E34" i="26"/>
  <c r="J34" i="26"/>
  <c r="H34" i="26"/>
  <c r="D41" i="25"/>
  <c r="F41" i="25" s="1"/>
  <c r="D7" i="25"/>
  <c r="D23" i="25" s="1"/>
  <c r="D9" i="25"/>
  <c r="D25" i="25" s="1"/>
  <c r="D11" i="25"/>
  <c r="D27" i="25" s="1"/>
  <c r="F13" i="25"/>
  <c r="F29" i="25" s="1"/>
  <c r="F16" i="25"/>
  <c r="F32" i="25" s="1"/>
  <c r="D42" i="25"/>
  <c r="F42" i="25" s="1"/>
  <c r="F5" i="25"/>
  <c r="F21" i="25" s="1"/>
  <c r="E7" i="25"/>
  <c r="E23" i="25" s="1"/>
  <c r="F9" i="25"/>
  <c r="F25" i="25" s="1"/>
  <c r="F11" i="25"/>
  <c r="F27" i="25" s="1"/>
  <c r="G13" i="25"/>
  <c r="G29" i="25" s="1"/>
  <c r="I16" i="25"/>
  <c r="I32" i="25" s="1"/>
  <c r="D43" i="25"/>
  <c r="G5" i="25"/>
  <c r="G21" i="25" s="1"/>
  <c r="G6" i="25"/>
  <c r="G22" i="25" s="1"/>
  <c r="H7" i="25"/>
  <c r="H23" i="25" s="1"/>
  <c r="G8" i="25"/>
  <c r="G24" i="25" s="1"/>
  <c r="G9" i="25"/>
  <c r="G25" i="25" s="1"/>
  <c r="H10" i="25"/>
  <c r="H26" i="25" s="1"/>
  <c r="H11" i="25"/>
  <c r="H27" i="25" s="1"/>
  <c r="G12" i="25"/>
  <c r="G28" i="25" s="1"/>
  <c r="D14" i="25"/>
  <c r="D30" i="25" s="1"/>
  <c r="H15" i="25"/>
  <c r="H31" i="25" s="1"/>
  <c r="J16" i="25"/>
  <c r="J32" i="25" s="1"/>
  <c r="H5" i="25"/>
  <c r="H21" i="25" s="1"/>
  <c r="I6" i="25"/>
  <c r="I22" i="25" s="1"/>
  <c r="I7" i="25"/>
  <c r="I23" i="25" s="1"/>
  <c r="I8" i="25"/>
  <c r="I24" i="25" s="1"/>
  <c r="J9" i="25"/>
  <c r="J25" i="25" s="1"/>
  <c r="I10" i="25"/>
  <c r="I26" i="25" s="1"/>
  <c r="I11" i="25"/>
  <c r="I27" i="25" s="1"/>
  <c r="J12" i="25"/>
  <c r="J28" i="25" s="1"/>
  <c r="G14" i="25"/>
  <c r="G30" i="25" s="1"/>
  <c r="I15" i="25"/>
  <c r="I31" i="25" s="1"/>
  <c r="G17" i="25"/>
  <c r="G33" i="25" s="1"/>
  <c r="D38" i="25"/>
  <c r="F38" i="25" s="1"/>
  <c r="I17" i="25"/>
  <c r="I33" i="25" s="1"/>
  <c r="E17" i="25"/>
  <c r="E33" i="25" s="1"/>
  <c r="H16" i="25"/>
  <c r="H32" i="25" s="1"/>
  <c r="D16" i="25"/>
  <c r="D32" i="25" s="1"/>
  <c r="G15" i="25"/>
  <c r="G31" i="25" s="1"/>
  <c r="J14" i="25"/>
  <c r="J30" i="25" s="1"/>
  <c r="F14" i="25"/>
  <c r="F30" i="25" s="1"/>
  <c r="I13" i="25"/>
  <c r="I29" i="25" s="1"/>
  <c r="E13" i="25"/>
  <c r="E29" i="25" s="1"/>
  <c r="H12" i="25"/>
  <c r="H28" i="25" s="1"/>
  <c r="D12" i="25"/>
  <c r="D28" i="25" s="1"/>
  <c r="G11" i="25"/>
  <c r="G27" i="25" s="1"/>
  <c r="J10" i="25"/>
  <c r="J26" i="25" s="1"/>
  <c r="F10" i="25"/>
  <c r="F26" i="25" s="1"/>
  <c r="I9" i="25"/>
  <c r="I25" i="25" s="1"/>
  <c r="E9" i="25"/>
  <c r="E25" i="25" s="1"/>
  <c r="H8" i="25"/>
  <c r="H24" i="25" s="1"/>
  <c r="D8" i="25"/>
  <c r="D24" i="25" s="1"/>
  <c r="G7" i="25"/>
  <c r="G23" i="25" s="1"/>
  <c r="J6" i="25"/>
  <c r="J22" i="25" s="1"/>
  <c r="F6" i="25"/>
  <c r="F22" i="25" s="1"/>
  <c r="I5" i="25"/>
  <c r="I21" i="25" s="1"/>
  <c r="E5" i="25"/>
  <c r="E21" i="25" s="1"/>
  <c r="F39" i="25"/>
  <c r="H17" i="25"/>
  <c r="H33" i="25" s="1"/>
  <c r="D17" i="25"/>
  <c r="D33" i="25" s="1"/>
  <c r="G16" i="25"/>
  <c r="G32" i="25" s="1"/>
  <c r="J15" i="25"/>
  <c r="J31" i="25" s="1"/>
  <c r="F15" i="25"/>
  <c r="F31" i="25" s="1"/>
  <c r="I14" i="25"/>
  <c r="I30" i="25" s="1"/>
  <c r="E14" i="25"/>
  <c r="E30" i="25" s="1"/>
  <c r="H13" i="25"/>
  <c r="H29" i="25" s="1"/>
  <c r="D13" i="25"/>
  <c r="D29" i="25" s="1"/>
  <c r="D40" i="25"/>
  <c r="F40" i="25" s="1"/>
  <c r="D5" i="25"/>
  <c r="D21" i="25" s="1"/>
  <c r="J5" i="25"/>
  <c r="J21" i="25" s="1"/>
  <c r="H6" i="25"/>
  <c r="H22" i="25" s="1"/>
  <c r="F7" i="25"/>
  <c r="F23" i="25" s="1"/>
  <c r="E8" i="25"/>
  <c r="E24" i="25" s="1"/>
  <c r="J8" i="25"/>
  <c r="J24" i="25" s="1"/>
  <c r="H9" i="25"/>
  <c r="H25" i="25" s="1"/>
  <c r="G10" i="25"/>
  <c r="G26" i="25" s="1"/>
  <c r="E11" i="25"/>
  <c r="E27" i="25" s="1"/>
  <c r="J11" i="25"/>
  <c r="J27" i="25" s="1"/>
  <c r="I12" i="25"/>
  <c r="I28" i="25" s="1"/>
  <c r="J13" i="25"/>
  <c r="J29" i="25" s="1"/>
  <c r="D15" i="25"/>
  <c r="D31" i="25" s="1"/>
  <c r="E16" i="25"/>
  <c r="E32" i="25" s="1"/>
  <c r="F17" i="25"/>
  <c r="F33" i="25" s="1"/>
  <c r="C34" i="25"/>
  <c r="D38" i="22"/>
  <c r="D38" i="23"/>
  <c r="D41" i="24"/>
  <c r="D40" i="24"/>
  <c r="D39" i="24"/>
  <c r="F34" i="25" l="1"/>
  <c r="G34" i="25"/>
  <c r="H34" i="25"/>
  <c r="I34" i="25"/>
  <c r="J34" i="25"/>
  <c r="D34" i="25"/>
  <c r="E34" i="25"/>
  <c r="D38" i="24"/>
  <c r="C41" i="24"/>
  <c r="C40" i="24"/>
  <c r="C39" i="24"/>
  <c r="C38" i="24"/>
  <c r="C33" i="24"/>
  <c r="A33" i="24"/>
  <c r="C32" i="24"/>
  <c r="A32" i="24"/>
  <c r="C31" i="24"/>
  <c r="A31" i="24"/>
  <c r="C30" i="24"/>
  <c r="A30" i="24"/>
  <c r="C29" i="24"/>
  <c r="A29" i="24"/>
  <c r="C28" i="24"/>
  <c r="A28" i="24"/>
  <c r="C27" i="24"/>
  <c r="A27" i="24"/>
  <c r="C26" i="24"/>
  <c r="A26" i="24"/>
  <c r="C25" i="24"/>
  <c r="A25" i="24"/>
  <c r="C24" i="24"/>
  <c r="A24" i="24"/>
  <c r="C23" i="24"/>
  <c r="A23" i="24"/>
  <c r="C22" i="24"/>
  <c r="A22" i="24"/>
  <c r="C21" i="24"/>
  <c r="A21" i="24"/>
  <c r="J20" i="24"/>
  <c r="I20" i="24"/>
  <c r="H20" i="24"/>
  <c r="G20" i="24"/>
  <c r="F20" i="24"/>
  <c r="E20" i="24"/>
  <c r="D20" i="24"/>
  <c r="C18" i="24"/>
  <c r="J16" i="24" s="1"/>
  <c r="J32" i="24" s="1"/>
  <c r="I13" i="24"/>
  <c r="I29" i="24" s="1"/>
  <c r="C41" i="23"/>
  <c r="C40" i="23"/>
  <c r="C39" i="23"/>
  <c r="C38" i="23"/>
  <c r="C33" i="23"/>
  <c r="A33" i="23"/>
  <c r="C32" i="23"/>
  <c r="A32" i="23"/>
  <c r="C31" i="23"/>
  <c r="A31" i="23"/>
  <c r="C30" i="23"/>
  <c r="A30" i="23"/>
  <c r="C29" i="23"/>
  <c r="A29" i="23"/>
  <c r="C28" i="23"/>
  <c r="A28" i="23"/>
  <c r="C27" i="23"/>
  <c r="A27" i="23"/>
  <c r="C26" i="23"/>
  <c r="A26" i="23"/>
  <c r="C25" i="23"/>
  <c r="A25" i="23"/>
  <c r="C24" i="23"/>
  <c r="A24" i="23"/>
  <c r="C23" i="23"/>
  <c r="A23" i="23"/>
  <c r="C22" i="23"/>
  <c r="A22" i="23"/>
  <c r="C21" i="23"/>
  <c r="A21" i="23"/>
  <c r="J20" i="23"/>
  <c r="I20" i="23"/>
  <c r="H20" i="23"/>
  <c r="G20" i="23"/>
  <c r="F20" i="23"/>
  <c r="E20" i="23"/>
  <c r="D20" i="23"/>
  <c r="C18" i="23"/>
  <c r="G17" i="23" s="1"/>
  <c r="G33" i="23" s="1"/>
  <c r="D42" i="22"/>
  <c r="D41" i="22"/>
  <c r="D40" i="22"/>
  <c r="C41" i="22"/>
  <c r="C40" i="22"/>
  <c r="C39" i="22"/>
  <c r="C38" i="22"/>
  <c r="G33" i="22"/>
  <c r="C33" i="22"/>
  <c r="A33" i="22"/>
  <c r="C32" i="22"/>
  <c r="A32" i="22"/>
  <c r="C31" i="22"/>
  <c r="A31" i="22"/>
  <c r="C30" i="22"/>
  <c r="A30" i="22"/>
  <c r="C29" i="22"/>
  <c r="A29" i="22"/>
  <c r="C28" i="22"/>
  <c r="A28" i="22"/>
  <c r="C27" i="22"/>
  <c r="A27" i="22"/>
  <c r="C26" i="22"/>
  <c r="A26" i="22"/>
  <c r="C25" i="22"/>
  <c r="A25" i="22"/>
  <c r="C24" i="22"/>
  <c r="A24" i="22"/>
  <c r="C23" i="22"/>
  <c r="A23" i="22"/>
  <c r="C22" i="22"/>
  <c r="A22" i="22"/>
  <c r="C21" i="22"/>
  <c r="A21" i="22"/>
  <c r="J20" i="22"/>
  <c r="I20" i="22"/>
  <c r="H20" i="22"/>
  <c r="G20" i="22"/>
  <c r="F20" i="22"/>
  <c r="E20" i="22"/>
  <c r="D20" i="22"/>
  <c r="C18" i="22"/>
  <c r="G17" i="22"/>
  <c r="D17" i="22"/>
  <c r="D33" i="22" s="1"/>
  <c r="F16" i="22"/>
  <c r="F32" i="22" s="1"/>
  <c r="J15" i="22"/>
  <c r="J31" i="22" s="1"/>
  <c r="I15" i="22"/>
  <c r="I31" i="22" s="1"/>
  <c r="I14" i="22"/>
  <c r="I30" i="22" s="1"/>
  <c r="H14" i="22"/>
  <c r="H30" i="22" s="1"/>
  <c r="E14" i="22"/>
  <c r="E30" i="22" s="1"/>
  <c r="I13" i="22"/>
  <c r="I29" i="22" s="1"/>
  <c r="G13" i="22"/>
  <c r="G29" i="22" s="1"/>
  <c r="E13" i="22"/>
  <c r="E29" i="22" s="1"/>
  <c r="H12" i="22"/>
  <c r="H28" i="22" s="1"/>
  <c r="G12" i="22"/>
  <c r="G28" i="22" s="1"/>
  <c r="F12" i="22"/>
  <c r="F28" i="22" s="1"/>
  <c r="I11" i="22"/>
  <c r="I27" i="22" s="1"/>
  <c r="G11" i="22"/>
  <c r="G27" i="22" s="1"/>
  <c r="E11" i="22"/>
  <c r="E27" i="22" s="1"/>
  <c r="I10" i="22"/>
  <c r="I26" i="22" s="1"/>
  <c r="F10" i="22"/>
  <c r="F26" i="22" s="1"/>
  <c r="E10" i="22"/>
  <c r="E26" i="22" s="1"/>
  <c r="H9" i="22"/>
  <c r="H25" i="22" s="1"/>
  <c r="G9" i="22"/>
  <c r="G25" i="22" s="1"/>
  <c r="E9" i="22"/>
  <c r="E25" i="22" s="1"/>
  <c r="H8" i="22"/>
  <c r="H24" i="22" s="1"/>
  <c r="G8" i="22"/>
  <c r="G24" i="22" s="1"/>
  <c r="D8" i="22"/>
  <c r="D24" i="22" s="1"/>
  <c r="I7" i="22"/>
  <c r="I23" i="22" s="1"/>
  <c r="F7" i="22"/>
  <c r="F23" i="22" s="1"/>
  <c r="E7" i="22"/>
  <c r="E23" i="22" s="1"/>
  <c r="H6" i="22"/>
  <c r="H22" i="22" s="1"/>
  <c r="F6" i="22"/>
  <c r="F22" i="22" s="1"/>
  <c r="E6" i="22"/>
  <c r="E22" i="22" s="1"/>
  <c r="H5" i="22"/>
  <c r="H21" i="22" s="1"/>
  <c r="G5" i="22"/>
  <c r="G21" i="22" s="1"/>
  <c r="D5" i="22"/>
  <c r="D21" i="22" s="1"/>
  <c r="C38" i="21"/>
  <c r="C42" i="21"/>
  <c r="C41" i="21"/>
  <c r="C40" i="21"/>
  <c r="C39" i="21"/>
  <c r="C33" i="21"/>
  <c r="A33" i="21"/>
  <c r="C32" i="21"/>
  <c r="A32" i="21"/>
  <c r="C31" i="21"/>
  <c r="A31" i="21"/>
  <c r="C30" i="21"/>
  <c r="A30" i="21"/>
  <c r="C29" i="21"/>
  <c r="A29" i="21"/>
  <c r="C28" i="21"/>
  <c r="A28" i="21"/>
  <c r="C27" i="21"/>
  <c r="A27" i="21"/>
  <c r="C26" i="21"/>
  <c r="A26" i="21"/>
  <c r="C25" i="21"/>
  <c r="A25" i="21"/>
  <c r="C24" i="21"/>
  <c r="A24" i="21"/>
  <c r="C23" i="21"/>
  <c r="A23" i="21"/>
  <c r="C22" i="21"/>
  <c r="A22" i="21"/>
  <c r="C21" i="21"/>
  <c r="A21" i="21"/>
  <c r="J20" i="21"/>
  <c r="I20" i="21"/>
  <c r="H20" i="21"/>
  <c r="G20" i="21"/>
  <c r="F20" i="21"/>
  <c r="E20" i="21"/>
  <c r="D20" i="21"/>
  <c r="C18" i="21"/>
  <c r="D39" i="21" s="1"/>
  <c r="F39" i="21" s="1"/>
  <c r="C42" i="20"/>
  <c r="C41" i="20"/>
  <c r="C40" i="20"/>
  <c r="C39" i="20"/>
  <c r="C38" i="20"/>
  <c r="C33" i="20"/>
  <c r="A33" i="20"/>
  <c r="C32" i="20"/>
  <c r="A32" i="20"/>
  <c r="C31" i="20"/>
  <c r="A31" i="20"/>
  <c r="C30" i="20"/>
  <c r="A30" i="20"/>
  <c r="C29" i="20"/>
  <c r="A29" i="20"/>
  <c r="C28" i="20"/>
  <c r="A28" i="20"/>
  <c r="C27" i="20"/>
  <c r="A27" i="20"/>
  <c r="C26" i="20"/>
  <c r="A26" i="20"/>
  <c r="C25" i="20"/>
  <c r="A25" i="20"/>
  <c r="C24" i="20"/>
  <c r="A24" i="20"/>
  <c r="C23" i="20"/>
  <c r="A23" i="20"/>
  <c r="C22" i="20"/>
  <c r="A22" i="20"/>
  <c r="C21" i="20"/>
  <c r="A21" i="20"/>
  <c r="J20" i="20"/>
  <c r="I20" i="20"/>
  <c r="H20" i="20"/>
  <c r="G20" i="20"/>
  <c r="F20" i="20"/>
  <c r="E20" i="20"/>
  <c r="D20" i="20"/>
  <c r="C18" i="20"/>
  <c r="I15" i="20" s="1"/>
  <c r="I31" i="20" s="1"/>
  <c r="J5" i="21" l="1"/>
  <c r="J21" i="21" s="1"/>
  <c r="D10" i="21"/>
  <c r="D26" i="21" s="1"/>
  <c r="D14" i="21"/>
  <c r="D30" i="21" s="1"/>
  <c r="D11" i="21"/>
  <c r="D27" i="21" s="1"/>
  <c r="D8" i="21"/>
  <c r="D24" i="21" s="1"/>
  <c r="D38" i="21"/>
  <c r="D7" i="21"/>
  <c r="D23" i="21" s="1"/>
  <c r="D15" i="21"/>
  <c r="D31" i="21" s="1"/>
  <c r="D12" i="21"/>
  <c r="D28" i="21" s="1"/>
  <c r="E16" i="21"/>
  <c r="E32" i="21" s="1"/>
  <c r="J8" i="21"/>
  <c r="J24" i="21" s="1"/>
  <c r="E13" i="21"/>
  <c r="E29" i="21" s="1"/>
  <c r="E17" i="21"/>
  <c r="E33" i="21" s="1"/>
  <c r="D40" i="21"/>
  <c r="I10" i="24"/>
  <c r="I26" i="24" s="1"/>
  <c r="I7" i="24"/>
  <c r="I23" i="24" s="1"/>
  <c r="C34" i="24"/>
  <c r="G5" i="24"/>
  <c r="G21" i="24" s="1"/>
  <c r="G8" i="24"/>
  <c r="G24" i="24" s="1"/>
  <c r="G11" i="24"/>
  <c r="G27" i="24" s="1"/>
  <c r="H14" i="24"/>
  <c r="H30" i="24" s="1"/>
  <c r="E6" i="24"/>
  <c r="E22" i="24" s="1"/>
  <c r="E9" i="24"/>
  <c r="E25" i="24" s="1"/>
  <c r="F12" i="24"/>
  <c r="F28" i="24" s="1"/>
  <c r="I15" i="24"/>
  <c r="I31" i="24" s="1"/>
  <c r="J6" i="24"/>
  <c r="J22" i="24" s="1"/>
  <c r="D10" i="24"/>
  <c r="D26" i="24" s="1"/>
  <c r="D13" i="24"/>
  <c r="D29" i="24" s="1"/>
  <c r="F41" i="24"/>
  <c r="J17" i="24"/>
  <c r="J33" i="24" s="1"/>
  <c r="F17" i="24"/>
  <c r="F33" i="24" s="1"/>
  <c r="I16" i="24"/>
  <c r="I32" i="24" s="1"/>
  <c r="E16" i="24"/>
  <c r="E32" i="24" s="1"/>
  <c r="H15" i="24"/>
  <c r="H31" i="24" s="1"/>
  <c r="D15" i="24"/>
  <c r="D31" i="24" s="1"/>
  <c r="G14" i="24"/>
  <c r="G30" i="24" s="1"/>
  <c r="J13" i="24"/>
  <c r="J29" i="24" s="1"/>
  <c r="F13" i="24"/>
  <c r="F29" i="24" s="1"/>
  <c r="I12" i="24"/>
  <c r="I28" i="24" s="1"/>
  <c r="E12" i="24"/>
  <c r="E28" i="24" s="1"/>
  <c r="H11" i="24"/>
  <c r="H27" i="24" s="1"/>
  <c r="D11" i="24"/>
  <c r="D27" i="24" s="1"/>
  <c r="G10" i="24"/>
  <c r="G26" i="24" s="1"/>
  <c r="J9" i="24"/>
  <c r="J25" i="24" s="1"/>
  <c r="F9" i="24"/>
  <c r="F25" i="24" s="1"/>
  <c r="I8" i="24"/>
  <c r="I24" i="24" s="1"/>
  <c r="E8" i="24"/>
  <c r="E24" i="24" s="1"/>
  <c r="H7" i="24"/>
  <c r="H23" i="24" s="1"/>
  <c r="D7" i="24"/>
  <c r="D23" i="24" s="1"/>
  <c r="G6" i="24"/>
  <c r="G22" i="24" s="1"/>
  <c r="J5" i="24"/>
  <c r="J21" i="24" s="1"/>
  <c r="F5" i="24"/>
  <c r="F21" i="24" s="1"/>
  <c r="F38" i="24"/>
  <c r="I17" i="24"/>
  <c r="I33" i="24" s="1"/>
  <c r="E17" i="24"/>
  <c r="E33" i="24" s="1"/>
  <c r="H16" i="24"/>
  <c r="H32" i="24" s="1"/>
  <c r="D16" i="24"/>
  <c r="D32" i="24" s="1"/>
  <c r="G15" i="24"/>
  <c r="G31" i="24" s="1"/>
  <c r="J14" i="24"/>
  <c r="J30" i="24" s="1"/>
  <c r="H5" i="24"/>
  <c r="H21" i="24" s="1"/>
  <c r="F6" i="24"/>
  <c r="F22" i="24" s="1"/>
  <c r="E7" i="24"/>
  <c r="E23" i="24" s="1"/>
  <c r="J7" i="24"/>
  <c r="J23" i="24" s="1"/>
  <c r="H8" i="24"/>
  <c r="H24" i="24" s="1"/>
  <c r="G9" i="24"/>
  <c r="G25" i="24" s="1"/>
  <c r="E10" i="24"/>
  <c r="E26" i="24" s="1"/>
  <c r="J10" i="24"/>
  <c r="J26" i="24" s="1"/>
  <c r="I11" i="24"/>
  <c r="I27" i="24" s="1"/>
  <c r="G12" i="24"/>
  <c r="G28" i="24" s="1"/>
  <c r="E13" i="24"/>
  <c r="E29" i="24" s="1"/>
  <c r="D14" i="24"/>
  <c r="D30" i="24" s="1"/>
  <c r="I14" i="24"/>
  <c r="I30" i="24" s="1"/>
  <c r="J15" i="24"/>
  <c r="J31" i="24" s="1"/>
  <c r="D17" i="24"/>
  <c r="D33" i="24" s="1"/>
  <c r="F39" i="24"/>
  <c r="D5" i="24"/>
  <c r="D21" i="24" s="1"/>
  <c r="I5" i="24"/>
  <c r="I21" i="24" s="1"/>
  <c r="H6" i="24"/>
  <c r="H22" i="24" s="1"/>
  <c r="F7" i="24"/>
  <c r="F23" i="24" s="1"/>
  <c r="D8" i="24"/>
  <c r="D24" i="24" s="1"/>
  <c r="J8" i="24"/>
  <c r="J24" i="24" s="1"/>
  <c r="H9" i="24"/>
  <c r="H25" i="24" s="1"/>
  <c r="F10" i="24"/>
  <c r="F26" i="24" s="1"/>
  <c r="E11" i="24"/>
  <c r="E27" i="24" s="1"/>
  <c r="J11" i="24"/>
  <c r="J27" i="24" s="1"/>
  <c r="H12" i="24"/>
  <c r="H28" i="24" s="1"/>
  <c r="G13" i="24"/>
  <c r="G29" i="24" s="1"/>
  <c r="E14" i="24"/>
  <c r="E30" i="24" s="1"/>
  <c r="E15" i="24"/>
  <c r="E31" i="24" s="1"/>
  <c r="F16" i="24"/>
  <c r="F32" i="24" s="1"/>
  <c r="G17" i="24"/>
  <c r="G33" i="24" s="1"/>
  <c r="E5" i="24"/>
  <c r="E21" i="24" s="1"/>
  <c r="D6" i="24"/>
  <c r="D22" i="24" s="1"/>
  <c r="I6" i="24"/>
  <c r="I22" i="24" s="1"/>
  <c r="G7" i="24"/>
  <c r="G23" i="24" s="1"/>
  <c r="F8" i="24"/>
  <c r="F24" i="24" s="1"/>
  <c r="D9" i="24"/>
  <c r="D25" i="24" s="1"/>
  <c r="I9" i="24"/>
  <c r="I25" i="24" s="1"/>
  <c r="H10" i="24"/>
  <c r="H26" i="24" s="1"/>
  <c r="F11" i="24"/>
  <c r="F27" i="24" s="1"/>
  <c r="D12" i="24"/>
  <c r="D28" i="24" s="1"/>
  <c r="J12" i="24"/>
  <c r="J28" i="24" s="1"/>
  <c r="H13" i="24"/>
  <c r="H29" i="24" s="1"/>
  <c r="F14" i="24"/>
  <c r="F30" i="24" s="1"/>
  <c r="F15" i="24"/>
  <c r="F31" i="24" s="1"/>
  <c r="G16" i="24"/>
  <c r="G32" i="24" s="1"/>
  <c r="H17" i="24"/>
  <c r="H33" i="24" s="1"/>
  <c r="F40" i="24"/>
  <c r="D6" i="23"/>
  <c r="D22" i="23" s="1"/>
  <c r="G7" i="23"/>
  <c r="G23" i="23" s="1"/>
  <c r="D9" i="23"/>
  <c r="D25" i="23" s="1"/>
  <c r="H10" i="23"/>
  <c r="H26" i="23" s="1"/>
  <c r="D12" i="23"/>
  <c r="D28" i="23" s="1"/>
  <c r="H13" i="23"/>
  <c r="H29" i="23" s="1"/>
  <c r="I15" i="23"/>
  <c r="I31" i="23" s="1"/>
  <c r="H6" i="23"/>
  <c r="H22" i="23" s="1"/>
  <c r="H9" i="23"/>
  <c r="H25" i="23" s="1"/>
  <c r="H12" i="23"/>
  <c r="H28" i="23" s="1"/>
  <c r="I5" i="23"/>
  <c r="I21" i="23" s="1"/>
  <c r="F7" i="23"/>
  <c r="F23" i="23" s="1"/>
  <c r="J8" i="23"/>
  <c r="J24" i="23" s="1"/>
  <c r="F10" i="23"/>
  <c r="F26" i="23" s="1"/>
  <c r="J11" i="23"/>
  <c r="J27" i="23" s="1"/>
  <c r="G13" i="23"/>
  <c r="G29" i="23" s="1"/>
  <c r="F15" i="23"/>
  <c r="F31" i="23" s="1"/>
  <c r="H17" i="23"/>
  <c r="H33" i="23" s="1"/>
  <c r="D39" i="23"/>
  <c r="F39" i="23" s="1"/>
  <c r="D5" i="23"/>
  <c r="D21" i="23" s="1"/>
  <c r="D8" i="23"/>
  <c r="D24" i="23" s="1"/>
  <c r="E11" i="23"/>
  <c r="E27" i="23" s="1"/>
  <c r="E14" i="23"/>
  <c r="E30" i="23" s="1"/>
  <c r="G16" i="23"/>
  <c r="G32" i="23" s="1"/>
  <c r="E5" i="23"/>
  <c r="E21" i="23" s="1"/>
  <c r="I6" i="23"/>
  <c r="I22" i="23" s="1"/>
  <c r="F8" i="23"/>
  <c r="F24" i="23" s="1"/>
  <c r="I9" i="23"/>
  <c r="I25" i="23" s="1"/>
  <c r="F11" i="23"/>
  <c r="F27" i="23" s="1"/>
  <c r="J12" i="23"/>
  <c r="J28" i="23" s="1"/>
  <c r="H14" i="23"/>
  <c r="H30" i="23" s="1"/>
  <c r="J16" i="23"/>
  <c r="J32" i="23" s="1"/>
  <c r="G5" i="23"/>
  <c r="G21" i="23" s="1"/>
  <c r="E6" i="23"/>
  <c r="E22" i="23" s="1"/>
  <c r="J6" i="23"/>
  <c r="J22" i="23" s="1"/>
  <c r="I7" i="23"/>
  <c r="I23" i="23" s="1"/>
  <c r="G8" i="23"/>
  <c r="G24" i="23" s="1"/>
  <c r="E9" i="23"/>
  <c r="E25" i="23" s="1"/>
  <c r="D10" i="23"/>
  <c r="D26" i="23" s="1"/>
  <c r="I10" i="23"/>
  <c r="I26" i="23" s="1"/>
  <c r="G11" i="23"/>
  <c r="G27" i="23" s="1"/>
  <c r="F12" i="23"/>
  <c r="F28" i="23" s="1"/>
  <c r="D13" i="23"/>
  <c r="D29" i="23" s="1"/>
  <c r="I13" i="23"/>
  <c r="I29" i="23" s="1"/>
  <c r="I14" i="23"/>
  <c r="I30" i="23" s="1"/>
  <c r="J15" i="23"/>
  <c r="J31" i="23" s="1"/>
  <c r="D17" i="23"/>
  <c r="D33" i="23" s="1"/>
  <c r="C34" i="23"/>
  <c r="H5" i="23"/>
  <c r="H21" i="23" s="1"/>
  <c r="F6" i="23"/>
  <c r="F22" i="23" s="1"/>
  <c r="E7" i="23"/>
  <c r="E23" i="23" s="1"/>
  <c r="J7" i="23"/>
  <c r="J23" i="23" s="1"/>
  <c r="H8" i="23"/>
  <c r="H24" i="23" s="1"/>
  <c r="G9" i="23"/>
  <c r="G25" i="23" s="1"/>
  <c r="E10" i="23"/>
  <c r="E26" i="23" s="1"/>
  <c r="J10" i="23"/>
  <c r="J26" i="23" s="1"/>
  <c r="I11" i="23"/>
  <c r="I27" i="23" s="1"/>
  <c r="G12" i="23"/>
  <c r="G28" i="23" s="1"/>
  <c r="E13" i="23"/>
  <c r="E29" i="23" s="1"/>
  <c r="D14" i="23"/>
  <c r="D30" i="23" s="1"/>
  <c r="E15" i="23"/>
  <c r="E31" i="23" s="1"/>
  <c r="F16" i="23"/>
  <c r="F32" i="23" s="1"/>
  <c r="D41" i="23"/>
  <c r="F41" i="23" s="1"/>
  <c r="J17" i="23"/>
  <c r="J33" i="23" s="1"/>
  <c r="F17" i="23"/>
  <c r="F33" i="23" s="1"/>
  <c r="I16" i="23"/>
  <c r="I32" i="23" s="1"/>
  <c r="E16" i="23"/>
  <c r="E32" i="23" s="1"/>
  <c r="H15" i="23"/>
  <c r="H31" i="23" s="1"/>
  <c r="D15" i="23"/>
  <c r="D31" i="23" s="1"/>
  <c r="G14" i="23"/>
  <c r="G30" i="23" s="1"/>
  <c r="J13" i="23"/>
  <c r="J29" i="23" s="1"/>
  <c r="F13" i="23"/>
  <c r="F29" i="23" s="1"/>
  <c r="I12" i="23"/>
  <c r="I28" i="23" s="1"/>
  <c r="E12" i="23"/>
  <c r="E28" i="23" s="1"/>
  <c r="H11" i="23"/>
  <c r="H27" i="23" s="1"/>
  <c r="D11" i="23"/>
  <c r="D27" i="23" s="1"/>
  <c r="G10" i="23"/>
  <c r="G26" i="23" s="1"/>
  <c r="J9" i="23"/>
  <c r="J25" i="23" s="1"/>
  <c r="F9" i="23"/>
  <c r="F25" i="23" s="1"/>
  <c r="I8" i="23"/>
  <c r="I24" i="23" s="1"/>
  <c r="E8" i="23"/>
  <c r="E24" i="23" s="1"/>
  <c r="H7" i="23"/>
  <c r="H23" i="23" s="1"/>
  <c r="D7" i="23"/>
  <c r="D23" i="23" s="1"/>
  <c r="G6" i="23"/>
  <c r="G22" i="23" s="1"/>
  <c r="J5" i="23"/>
  <c r="J21" i="23" s="1"/>
  <c r="F5" i="23"/>
  <c r="F21" i="23" s="1"/>
  <c r="F38" i="23"/>
  <c r="I17" i="23"/>
  <c r="I33" i="23" s="1"/>
  <c r="E17" i="23"/>
  <c r="E33" i="23" s="1"/>
  <c r="H16" i="23"/>
  <c r="H32" i="23" s="1"/>
  <c r="D16" i="23"/>
  <c r="D32" i="23" s="1"/>
  <c r="G15" i="23"/>
  <c r="G31" i="23" s="1"/>
  <c r="J14" i="23"/>
  <c r="J30" i="23" s="1"/>
  <c r="F14" i="23"/>
  <c r="F30" i="23" s="1"/>
  <c r="D40" i="23"/>
  <c r="F40" i="23" s="1"/>
  <c r="D42" i="23"/>
  <c r="F42" i="23" s="1"/>
  <c r="D39" i="22"/>
  <c r="F39" i="22" s="1"/>
  <c r="I5" i="22"/>
  <c r="I21" i="22" s="1"/>
  <c r="J6" i="22"/>
  <c r="J22" i="22" s="1"/>
  <c r="J7" i="22"/>
  <c r="J23" i="22" s="1"/>
  <c r="J8" i="22"/>
  <c r="J24" i="22" s="1"/>
  <c r="D10" i="22"/>
  <c r="D26" i="22" s="1"/>
  <c r="J10" i="22"/>
  <c r="J26" i="22" s="1"/>
  <c r="J11" i="22"/>
  <c r="J27" i="22" s="1"/>
  <c r="D13" i="22"/>
  <c r="D29" i="22" s="1"/>
  <c r="D14" i="22"/>
  <c r="D30" i="22" s="1"/>
  <c r="E15" i="22"/>
  <c r="E31" i="22" s="1"/>
  <c r="J16" i="22"/>
  <c r="J32" i="22" s="1"/>
  <c r="C34" i="22"/>
  <c r="F41" i="22"/>
  <c r="J17" i="22"/>
  <c r="J33" i="22" s="1"/>
  <c r="F17" i="22"/>
  <c r="F33" i="22" s="1"/>
  <c r="I16" i="22"/>
  <c r="I32" i="22" s="1"/>
  <c r="E16" i="22"/>
  <c r="E32" i="22" s="1"/>
  <c r="H15" i="22"/>
  <c r="H31" i="22" s="1"/>
  <c r="D15" i="22"/>
  <c r="D31" i="22" s="1"/>
  <c r="G14" i="22"/>
  <c r="G30" i="22" s="1"/>
  <c r="J13" i="22"/>
  <c r="J29" i="22" s="1"/>
  <c r="F13" i="22"/>
  <c r="F29" i="22" s="1"/>
  <c r="I12" i="22"/>
  <c r="I28" i="22" s="1"/>
  <c r="E12" i="22"/>
  <c r="E28" i="22" s="1"/>
  <c r="H11" i="22"/>
  <c r="H27" i="22" s="1"/>
  <c r="D11" i="22"/>
  <c r="D27" i="22" s="1"/>
  <c r="G10" i="22"/>
  <c r="G26" i="22" s="1"/>
  <c r="J9" i="22"/>
  <c r="J25" i="22" s="1"/>
  <c r="F9" i="22"/>
  <c r="F25" i="22" s="1"/>
  <c r="I8" i="22"/>
  <c r="I24" i="22" s="1"/>
  <c r="E8" i="22"/>
  <c r="E24" i="22" s="1"/>
  <c r="H7" i="22"/>
  <c r="H23" i="22" s="1"/>
  <c r="D7" i="22"/>
  <c r="D23" i="22" s="1"/>
  <c r="G6" i="22"/>
  <c r="G22" i="22" s="1"/>
  <c r="J5" i="22"/>
  <c r="J21" i="22" s="1"/>
  <c r="F5" i="22"/>
  <c r="F21" i="22" s="1"/>
  <c r="F42" i="22"/>
  <c r="F38" i="22"/>
  <c r="I17" i="22"/>
  <c r="I33" i="22" s="1"/>
  <c r="E17" i="22"/>
  <c r="E33" i="22" s="1"/>
  <c r="H16" i="22"/>
  <c r="H32" i="22" s="1"/>
  <c r="D16" i="22"/>
  <c r="D32" i="22" s="1"/>
  <c r="G15" i="22"/>
  <c r="G31" i="22" s="1"/>
  <c r="J14" i="22"/>
  <c r="J30" i="22" s="1"/>
  <c r="E5" i="22"/>
  <c r="E21" i="22" s="1"/>
  <c r="D6" i="22"/>
  <c r="D22" i="22" s="1"/>
  <c r="I6" i="22"/>
  <c r="I22" i="22" s="1"/>
  <c r="G7" i="22"/>
  <c r="G23" i="22" s="1"/>
  <c r="F8" i="22"/>
  <c r="F24" i="22" s="1"/>
  <c r="D9" i="22"/>
  <c r="D25" i="22" s="1"/>
  <c r="I9" i="22"/>
  <c r="I25" i="22" s="1"/>
  <c r="H10" i="22"/>
  <c r="H26" i="22" s="1"/>
  <c r="F11" i="22"/>
  <c r="F27" i="22" s="1"/>
  <c r="D12" i="22"/>
  <c r="D28" i="22" s="1"/>
  <c r="J12" i="22"/>
  <c r="J28" i="22" s="1"/>
  <c r="H13" i="22"/>
  <c r="H29" i="22" s="1"/>
  <c r="F14" i="22"/>
  <c r="F30" i="22" s="1"/>
  <c r="F15" i="22"/>
  <c r="F31" i="22" s="1"/>
  <c r="G16" i="22"/>
  <c r="G32" i="22" s="1"/>
  <c r="H17" i="22"/>
  <c r="H33" i="22" s="1"/>
  <c r="F40" i="22"/>
  <c r="E5" i="21"/>
  <c r="E21" i="21" s="1"/>
  <c r="F6" i="21"/>
  <c r="F22" i="21" s="1"/>
  <c r="E7" i="21"/>
  <c r="E23" i="21" s="1"/>
  <c r="E8" i="21"/>
  <c r="E24" i="21" s="1"/>
  <c r="F9" i="21"/>
  <c r="F25" i="21" s="1"/>
  <c r="F10" i="21"/>
  <c r="F26" i="21" s="1"/>
  <c r="E11" i="21"/>
  <c r="E27" i="21" s="1"/>
  <c r="F12" i="21"/>
  <c r="F28" i="21" s="1"/>
  <c r="F13" i="21"/>
  <c r="F29" i="21" s="1"/>
  <c r="F14" i="21"/>
  <c r="F30" i="21" s="1"/>
  <c r="G15" i="21"/>
  <c r="G31" i="21" s="1"/>
  <c r="F16" i="21"/>
  <c r="F32" i="21" s="1"/>
  <c r="F17" i="21"/>
  <c r="F33" i="21" s="1"/>
  <c r="F38" i="21"/>
  <c r="D41" i="21"/>
  <c r="F41" i="21" s="1"/>
  <c r="G5" i="21"/>
  <c r="G21" i="21" s="1"/>
  <c r="G6" i="21"/>
  <c r="G22" i="21" s="1"/>
  <c r="G7" i="21"/>
  <c r="G23" i="21" s="1"/>
  <c r="H8" i="21"/>
  <c r="H24" i="21" s="1"/>
  <c r="G9" i="21"/>
  <c r="G25" i="21" s="1"/>
  <c r="G10" i="21"/>
  <c r="G26" i="21" s="1"/>
  <c r="H11" i="21"/>
  <c r="H27" i="21" s="1"/>
  <c r="H12" i="21"/>
  <c r="H28" i="21" s="1"/>
  <c r="G13" i="21"/>
  <c r="G29" i="21" s="1"/>
  <c r="H14" i="21"/>
  <c r="H30" i="21" s="1"/>
  <c r="H15" i="21"/>
  <c r="H31" i="21" s="1"/>
  <c r="H16" i="21"/>
  <c r="H32" i="21" s="1"/>
  <c r="I17" i="21"/>
  <c r="I33" i="21" s="1"/>
  <c r="I5" i="21"/>
  <c r="I21" i="21" s="1"/>
  <c r="H6" i="21"/>
  <c r="H22" i="21" s="1"/>
  <c r="I7" i="21"/>
  <c r="I23" i="21" s="1"/>
  <c r="I8" i="21"/>
  <c r="I24" i="21" s="1"/>
  <c r="I9" i="21"/>
  <c r="I25" i="21" s="1"/>
  <c r="J10" i="21"/>
  <c r="J26" i="21" s="1"/>
  <c r="I11" i="21"/>
  <c r="I27" i="21" s="1"/>
  <c r="I12" i="21"/>
  <c r="I28" i="21" s="1"/>
  <c r="J13" i="21"/>
  <c r="J29" i="21" s="1"/>
  <c r="J14" i="21"/>
  <c r="J30" i="21" s="1"/>
  <c r="I15" i="21"/>
  <c r="I31" i="21" s="1"/>
  <c r="J16" i="21"/>
  <c r="J32" i="21" s="1"/>
  <c r="J17" i="21"/>
  <c r="J33" i="21" s="1"/>
  <c r="F5" i="21"/>
  <c r="F21" i="21" s="1"/>
  <c r="D6" i="21"/>
  <c r="D22" i="21" s="1"/>
  <c r="J6" i="21"/>
  <c r="J22" i="21" s="1"/>
  <c r="H7" i="21"/>
  <c r="H23" i="21" s="1"/>
  <c r="F8" i="21"/>
  <c r="F24" i="21" s="1"/>
  <c r="E9" i="21"/>
  <c r="E25" i="21" s="1"/>
  <c r="J9" i="21"/>
  <c r="J25" i="21" s="1"/>
  <c r="H10" i="21"/>
  <c r="H26" i="21" s="1"/>
  <c r="G11" i="21"/>
  <c r="G27" i="21" s="1"/>
  <c r="E12" i="21"/>
  <c r="E28" i="21" s="1"/>
  <c r="J12" i="21"/>
  <c r="J28" i="21" s="1"/>
  <c r="I13" i="21"/>
  <c r="I29" i="21" s="1"/>
  <c r="G14" i="21"/>
  <c r="G30" i="21" s="1"/>
  <c r="E15" i="21"/>
  <c r="E31" i="21" s="1"/>
  <c r="D16" i="21"/>
  <c r="D32" i="21" s="1"/>
  <c r="I16" i="21"/>
  <c r="I32" i="21" s="1"/>
  <c r="G17" i="21"/>
  <c r="G33" i="21" s="1"/>
  <c r="D42" i="21"/>
  <c r="F42" i="21" s="1"/>
  <c r="C34" i="21"/>
  <c r="F40" i="21"/>
  <c r="D5" i="21"/>
  <c r="D21" i="21" s="1"/>
  <c r="H5" i="21"/>
  <c r="H21" i="21" s="1"/>
  <c r="E6" i="21"/>
  <c r="E22" i="21" s="1"/>
  <c r="I6" i="21"/>
  <c r="I22" i="21" s="1"/>
  <c r="F7" i="21"/>
  <c r="F23" i="21" s="1"/>
  <c r="F34" i="21" s="1"/>
  <c r="J7" i="21"/>
  <c r="J23" i="21" s="1"/>
  <c r="G8" i="21"/>
  <c r="G24" i="21" s="1"/>
  <c r="D9" i="21"/>
  <c r="D25" i="21" s="1"/>
  <c r="H9" i="21"/>
  <c r="H25" i="21" s="1"/>
  <c r="E10" i="21"/>
  <c r="E26" i="21" s="1"/>
  <c r="I10" i="21"/>
  <c r="I26" i="21" s="1"/>
  <c r="F11" i="21"/>
  <c r="F27" i="21" s="1"/>
  <c r="J11" i="21"/>
  <c r="J27" i="21" s="1"/>
  <c r="G12" i="21"/>
  <c r="G28" i="21" s="1"/>
  <c r="D13" i="21"/>
  <c r="D29" i="21" s="1"/>
  <c r="H13" i="21"/>
  <c r="H29" i="21" s="1"/>
  <c r="E14" i="21"/>
  <c r="E30" i="21" s="1"/>
  <c r="I14" i="21"/>
  <c r="I30" i="21" s="1"/>
  <c r="F15" i="21"/>
  <c r="F31" i="21" s="1"/>
  <c r="J15" i="21"/>
  <c r="J31" i="21" s="1"/>
  <c r="G16" i="21"/>
  <c r="G32" i="21" s="1"/>
  <c r="D17" i="21"/>
  <c r="D33" i="21" s="1"/>
  <c r="H17" i="21"/>
  <c r="H33" i="21" s="1"/>
  <c r="I10" i="20"/>
  <c r="I26" i="20" s="1"/>
  <c r="J6" i="20"/>
  <c r="J22" i="20" s="1"/>
  <c r="D13" i="20"/>
  <c r="D29" i="20" s="1"/>
  <c r="I7" i="20"/>
  <c r="I23" i="20" s="1"/>
  <c r="I13" i="20"/>
  <c r="I29" i="20" s="1"/>
  <c r="D10" i="20"/>
  <c r="D26" i="20" s="1"/>
  <c r="J16" i="20"/>
  <c r="J32" i="20" s="1"/>
  <c r="G5" i="20"/>
  <c r="G21" i="20" s="1"/>
  <c r="G8" i="20"/>
  <c r="G24" i="20" s="1"/>
  <c r="G11" i="20"/>
  <c r="G27" i="20" s="1"/>
  <c r="H14" i="20"/>
  <c r="H30" i="20" s="1"/>
  <c r="C34" i="20"/>
  <c r="E6" i="20"/>
  <c r="E22" i="20" s="1"/>
  <c r="E9" i="20"/>
  <c r="E25" i="20" s="1"/>
  <c r="F12" i="20"/>
  <c r="F28" i="20" s="1"/>
  <c r="D41" i="20"/>
  <c r="F41" i="20" s="1"/>
  <c r="J17" i="20"/>
  <c r="J33" i="20" s="1"/>
  <c r="F17" i="20"/>
  <c r="F33" i="20" s="1"/>
  <c r="I16" i="20"/>
  <c r="I32" i="20" s="1"/>
  <c r="E16" i="20"/>
  <c r="E32" i="20" s="1"/>
  <c r="H15" i="20"/>
  <c r="H31" i="20" s="1"/>
  <c r="D15" i="20"/>
  <c r="D31" i="20" s="1"/>
  <c r="G14" i="20"/>
  <c r="G30" i="20" s="1"/>
  <c r="J13" i="20"/>
  <c r="J29" i="20" s="1"/>
  <c r="F13" i="20"/>
  <c r="F29" i="20" s="1"/>
  <c r="I12" i="20"/>
  <c r="I28" i="20" s="1"/>
  <c r="E12" i="20"/>
  <c r="E28" i="20" s="1"/>
  <c r="H11" i="20"/>
  <c r="H27" i="20" s="1"/>
  <c r="D11" i="20"/>
  <c r="D27" i="20" s="1"/>
  <c r="G10" i="20"/>
  <c r="G26" i="20" s="1"/>
  <c r="J9" i="20"/>
  <c r="J25" i="20" s="1"/>
  <c r="F9" i="20"/>
  <c r="F25" i="20" s="1"/>
  <c r="I8" i="20"/>
  <c r="I24" i="20" s="1"/>
  <c r="E8" i="20"/>
  <c r="E24" i="20" s="1"/>
  <c r="H7" i="20"/>
  <c r="H23" i="20" s="1"/>
  <c r="D7" i="20"/>
  <c r="D23" i="20" s="1"/>
  <c r="G6" i="20"/>
  <c r="G22" i="20" s="1"/>
  <c r="J5" i="20"/>
  <c r="J21" i="20" s="1"/>
  <c r="F5" i="20"/>
  <c r="F21" i="20" s="1"/>
  <c r="D42" i="20"/>
  <c r="F42" i="20" s="1"/>
  <c r="D38" i="20"/>
  <c r="F38" i="20" s="1"/>
  <c r="I17" i="20"/>
  <c r="I33" i="20" s="1"/>
  <c r="E17" i="20"/>
  <c r="E33" i="20" s="1"/>
  <c r="H16" i="20"/>
  <c r="H32" i="20" s="1"/>
  <c r="D16" i="20"/>
  <c r="D32" i="20" s="1"/>
  <c r="G15" i="20"/>
  <c r="G31" i="20" s="1"/>
  <c r="J14" i="20"/>
  <c r="J30" i="20" s="1"/>
  <c r="H5" i="20"/>
  <c r="H21" i="20" s="1"/>
  <c r="F6" i="20"/>
  <c r="F22" i="20" s="1"/>
  <c r="E7" i="20"/>
  <c r="E23" i="20" s="1"/>
  <c r="J7" i="20"/>
  <c r="J23" i="20" s="1"/>
  <c r="H8" i="20"/>
  <c r="H24" i="20" s="1"/>
  <c r="G9" i="20"/>
  <c r="G25" i="20" s="1"/>
  <c r="E10" i="20"/>
  <c r="E26" i="20" s="1"/>
  <c r="J10" i="20"/>
  <c r="J26" i="20" s="1"/>
  <c r="I11" i="20"/>
  <c r="I27" i="20" s="1"/>
  <c r="G12" i="20"/>
  <c r="G28" i="20" s="1"/>
  <c r="E13" i="20"/>
  <c r="E29" i="20" s="1"/>
  <c r="D14" i="20"/>
  <c r="D30" i="20" s="1"/>
  <c r="I14" i="20"/>
  <c r="I30" i="20" s="1"/>
  <c r="J15" i="20"/>
  <c r="J31" i="20" s="1"/>
  <c r="D17" i="20"/>
  <c r="D33" i="20" s="1"/>
  <c r="D39" i="20"/>
  <c r="F39" i="20" s="1"/>
  <c r="D5" i="20"/>
  <c r="D21" i="20" s="1"/>
  <c r="I5" i="20"/>
  <c r="I21" i="20" s="1"/>
  <c r="H6" i="20"/>
  <c r="H22" i="20" s="1"/>
  <c r="F7" i="20"/>
  <c r="F23" i="20" s="1"/>
  <c r="D8" i="20"/>
  <c r="D24" i="20" s="1"/>
  <c r="J8" i="20"/>
  <c r="J24" i="20" s="1"/>
  <c r="H9" i="20"/>
  <c r="H25" i="20" s="1"/>
  <c r="F10" i="20"/>
  <c r="F26" i="20" s="1"/>
  <c r="E11" i="20"/>
  <c r="E27" i="20" s="1"/>
  <c r="J11" i="20"/>
  <c r="J27" i="20" s="1"/>
  <c r="H12" i="20"/>
  <c r="H28" i="20" s="1"/>
  <c r="G13" i="20"/>
  <c r="G29" i="20" s="1"/>
  <c r="E14" i="20"/>
  <c r="E30" i="20" s="1"/>
  <c r="E15" i="20"/>
  <c r="E31" i="20" s="1"/>
  <c r="F16" i="20"/>
  <c r="F32" i="20" s="1"/>
  <c r="G17" i="20"/>
  <c r="G33" i="20" s="1"/>
  <c r="E5" i="20"/>
  <c r="E21" i="20" s="1"/>
  <c r="E34" i="20" s="1"/>
  <c r="D6" i="20"/>
  <c r="D22" i="20" s="1"/>
  <c r="I6" i="20"/>
  <c r="I22" i="20" s="1"/>
  <c r="G7" i="20"/>
  <c r="G23" i="20" s="1"/>
  <c r="F8" i="20"/>
  <c r="F24" i="20" s="1"/>
  <c r="D9" i="20"/>
  <c r="D25" i="20" s="1"/>
  <c r="I9" i="20"/>
  <c r="I25" i="20" s="1"/>
  <c r="H10" i="20"/>
  <c r="H26" i="20" s="1"/>
  <c r="F11" i="20"/>
  <c r="F27" i="20" s="1"/>
  <c r="D12" i="20"/>
  <c r="D28" i="20" s="1"/>
  <c r="J12" i="20"/>
  <c r="J28" i="20" s="1"/>
  <c r="H13" i="20"/>
  <c r="H29" i="20" s="1"/>
  <c r="F14" i="20"/>
  <c r="F30" i="20" s="1"/>
  <c r="F15" i="20"/>
  <c r="F31" i="20" s="1"/>
  <c r="G16" i="20"/>
  <c r="G32" i="20" s="1"/>
  <c r="H17" i="20"/>
  <c r="H33" i="20" s="1"/>
  <c r="D40" i="20"/>
  <c r="F40" i="20" s="1"/>
  <c r="C42" i="19"/>
  <c r="C41" i="19"/>
  <c r="C40" i="19"/>
  <c r="C39" i="19"/>
  <c r="C38" i="19"/>
  <c r="C33" i="19"/>
  <c r="A33" i="19"/>
  <c r="C32" i="19"/>
  <c r="A32" i="19"/>
  <c r="C31" i="19"/>
  <c r="A31" i="19"/>
  <c r="C30" i="19"/>
  <c r="A30" i="19"/>
  <c r="C29" i="19"/>
  <c r="A29" i="19"/>
  <c r="C28" i="19"/>
  <c r="A28" i="19"/>
  <c r="C27" i="19"/>
  <c r="A27" i="19"/>
  <c r="C26" i="19"/>
  <c r="A26" i="19"/>
  <c r="C25" i="19"/>
  <c r="A25" i="19"/>
  <c r="C24" i="19"/>
  <c r="A24" i="19"/>
  <c r="C23" i="19"/>
  <c r="A23" i="19"/>
  <c r="C22" i="19"/>
  <c r="A22" i="19"/>
  <c r="C21" i="19"/>
  <c r="A21" i="19"/>
  <c r="J20" i="19"/>
  <c r="I20" i="19"/>
  <c r="H20" i="19"/>
  <c r="G20" i="19"/>
  <c r="F20" i="19"/>
  <c r="E20" i="19"/>
  <c r="D20" i="19"/>
  <c r="C18" i="19"/>
  <c r="I15" i="19" s="1"/>
  <c r="I31" i="19" s="1"/>
  <c r="J16" i="19"/>
  <c r="J32" i="19" s="1"/>
  <c r="G34" i="24" l="1"/>
  <c r="E34" i="24"/>
  <c r="D34" i="24"/>
  <c r="F34" i="24"/>
  <c r="J34" i="24"/>
  <c r="I34" i="24"/>
  <c r="H34" i="24"/>
  <c r="E34" i="23"/>
  <c r="I34" i="23"/>
  <c r="D34" i="23"/>
  <c r="G34" i="23"/>
  <c r="H34" i="23"/>
  <c r="J34" i="23"/>
  <c r="F34" i="23"/>
  <c r="H34" i="22"/>
  <c r="D34" i="22"/>
  <c r="G34" i="22"/>
  <c r="I34" i="22"/>
  <c r="F34" i="22"/>
  <c r="E34" i="22"/>
  <c r="J34" i="22"/>
  <c r="J34" i="21"/>
  <c r="I34" i="21"/>
  <c r="G34" i="21"/>
  <c r="E34" i="21"/>
  <c r="D34" i="21"/>
  <c r="H34" i="21"/>
  <c r="G34" i="20"/>
  <c r="J34" i="20"/>
  <c r="I34" i="20"/>
  <c r="D34" i="20"/>
  <c r="H34" i="20"/>
  <c r="F34" i="20"/>
  <c r="I10" i="19"/>
  <c r="I26" i="19" s="1"/>
  <c r="D10" i="19"/>
  <c r="D26" i="19" s="1"/>
  <c r="J6" i="19"/>
  <c r="J22" i="19" s="1"/>
  <c r="D13" i="19"/>
  <c r="D29" i="19" s="1"/>
  <c r="I7" i="19"/>
  <c r="I23" i="19" s="1"/>
  <c r="I13" i="19"/>
  <c r="I29" i="19" s="1"/>
  <c r="G5" i="19"/>
  <c r="G21" i="19" s="1"/>
  <c r="G8" i="19"/>
  <c r="G24" i="19" s="1"/>
  <c r="G11" i="19"/>
  <c r="G27" i="19" s="1"/>
  <c r="H14" i="19"/>
  <c r="H30" i="19" s="1"/>
  <c r="C34" i="19"/>
  <c r="E6" i="19"/>
  <c r="E22" i="19" s="1"/>
  <c r="E9" i="19"/>
  <c r="E25" i="19" s="1"/>
  <c r="F12" i="19"/>
  <c r="F28" i="19" s="1"/>
  <c r="D41" i="19"/>
  <c r="F41" i="19" s="1"/>
  <c r="J17" i="19"/>
  <c r="J33" i="19" s="1"/>
  <c r="F17" i="19"/>
  <c r="F33" i="19" s="1"/>
  <c r="I16" i="19"/>
  <c r="I32" i="19" s="1"/>
  <c r="E16" i="19"/>
  <c r="E32" i="19" s="1"/>
  <c r="H15" i="19"/>
  <c r="H31" i="19" s="1"/>
  <c r="D15" i="19"/>
  <c r="D31" i="19" s="1"/>
  <c r="G14" i="19"/>
  <c r="G30" i="19" s="1"/>
  <c r="J13" i="19"/>
  <c r="J29" i="19" s="1"/>
  <c r="F13" i="19"/>
  <c r="F29" i="19" s="1"/>
  <c r="I12" i="19"/>
  <c r="I28" i="19" s="1"/>
  <c r="E12" i="19"/>
  <c r="E28" i="19" s="1"/>
  <c r="H11" i="19"/>
  <c r="H27" i="19" s="1"/>
  <c r="D11" i="19"/>
  <c r="D27" i="19" s="1"/>
  <c r="G10" i="19"/>
  <c r="G26" i="19" s="1"/>
  <c r="J9" i="19"/>
  <c r="J25" i="19" s="1"/>
  <c r="F9" i="19"/>
  <c r="F25" i="19" s="1"/>
  <c r="I8" i="19"/>
  <c r="I24" i="19" s="1"/>
  <c r="E8" i="19"/>
  <c r="E24" i="19" s="1"/>
  <c r="H7" i="19"/>
  <c r="H23" i="19" s="1"/>
  <c r="D7" i="19"/>
  <c r="D23" i="19" s="1"/>
  <c r="G6" i="19"/>
  <c r="G22" i="19" s="1"/>
  <c r="J5" i="19"/>
  <c r="J21" i="19" s="1"/>
  <c r="F5" i="19"/>
  <c r="F21" i="19" s="1"/>
  <c r="D42" i="19"/>
  <c r="F42" i="19" s="1"/>
  <c r="D38" i="19"/>
  <c r="F38" i="19" s="1"/>
  <c r="I17" i="19"/>
  <c r="I33" i="19" s="1"/>
  <c r="E17" i="19"/>
  <c r="E33" i="19" s="1"/>
  <c r="H16" i="19"/>
  <c r="H32" i="19" s="1"/>
  <c r="D16" i="19"/>
  <c r="D32" i="19" s="1"/>
  <c r="G15" i="19"/>
  <c r="G31" i="19" s="1"/>
  <c r="J14" i="19"/>
  <c r="J30" i="19" s="1"/>
  <c r="H5" i="19"/>
  <c r="H21" i="19" s="1"/>
  <c r="F6" i="19"/>
  <c r="F22" i="19" s="1"/>
  <c r="E7" i="19"/>
  <c r="E23" i="19" s="1"/>
  <c r="J7" i="19"/>
  <c r="J23" i="19" s="1"/>
  <c r="H8" i="19"/>
  <c r="H24" i="19" s="1"/>
  <c r="G9" i="19"/>
  <c r="G25" i="19" s="1"/>
  <c r="E10" i="19"/>
  <c r="E26" i="19" s="1"/>
  <c r="J10" i="19"/>
  <c r="J26" i="19" s="1"/>
  <c r="I11" i="19"/>
  <c r="I27" i="19" s="1"/>
  <c r="G12" i="19"/>
  <c r="G28" i="19" s="1"/>
  <c r="E13" i="19"/>
  <c r="E29" i="19" s="1"/>
  <c r="D14" i="19"/>
  <c r="D30" i="19" s="1"/>
  <c r="I14" i="19"/>
  <c r="I30" i="19" s="1"/>
  <c r="J15" i="19"/>
  <c r="J31" i="19" s="1"/>
  <c r="D17" i="19"/>
  <c r="D33" i="19" s="1"/>
  <c r="D39" i="19"/>
  <c r="F39" i="19" s="1"/>
  <c r="D5" i="19"/>
  <c r="D21" i="19" s="1"/>
  <c r="I5" i="19"/>
  <c r="I21" i="19" s="1"/>
  <c r="H6" i="19"/>
  <c r="H22" i="19" s="1"/>
  <c r="F7" i="19"/>
  <c r="F23" i="19" s="1"/>
  <c r="D8" i="19"/>
  <c r="D24" i="19" s="1"/>
  <c r="J8" i="19"/>
  <c r="J24" i="19" s="1"/>
  <c r="H9" i="19"/>
  <c r="H25" i="19" s="1"/>
  <c r="F10" i="19"/>
  <c r="F26" i="19" s="1"/>
  <c r="E11" i="19"/>
  <c r="E27" i="19" s="1"/>
  <c r="J11" i="19"/>
  <c r="J27" i="19" s="1"/>
  <c r="H12" i="19"/>
  <c r="H28" i="19" s="1"/>
  <c r="G13" i="19"/>
  <c r="G29" i="19" s="1"/>
  <c r="E14" i="19"/>
  <c r="E30" i="19" s="1"/>
  <c r="E15" i="19"/>
  <c r="E31" i="19" s="1"/>
  <c r="F16" i="19"/>
  <c r="F32" i="19" s="1"/>
  <c r="G17" i="19"/>
  <c r="G33" i="19" s="1"/>
  <c r="E5" i="19"/>
  <c r="E21" i="19" s="1"/>
  <c r="D6" i="19"/>
  <c r="D22" i="19" s="1"/>
  <c r="I6" i="19"/>
  <c r="I22" i="19" s="1"/>
  <c r="G7" i="19"/>
  <c r="G23" i="19" s="1"/>
  <c r="F8" i="19"/>
  <c r="F24" i="19" s="1"/>
  <c r="D9" i="19"/>
  <c r="D25" i="19" s="1"/>
  <c r="I9" i="19"/>
  <c r="I25" i="19" s="1"/>
  <c r="H10" i="19"/>
  <c r="H26" i="19" s="1"/>
  <c r="F11" i="19"/>
  <c r="F27" i="19" s="1"/>
  <c r="D12" i="19"/>
  <c r="D28" i="19" s="1"/>
  <c r="J12" i="19"/>
  <c r="J28" i="19" s="1"/>
  <c r="H13" i="19"/>
  <c r="H29" i="19" s="1"/>
  <c r="F14" i="19"/>
  <c r="F30" i="19" s="1"/>
  <c r="F15" i="19"/>
  <c r="F31" i="19" s="1"/>
  <c r="G16" i="19"/>
  <c r="G32" i="19" s="1"/>
  <c r="H17" i="19"/>
  <c r="H33" i="19" s="1"/>
  <c r="D40" i="19"/>
  <c r="F40" i="19" s="1"/>
  <c r="C42" i="18"/>
  <c r="C41" i="18"/>
  <c r="C40" i="18"/>
  <c r="C39" i="18"/>
  <c r="C38" i="18"/>
  <c r="C33" i="18"/>
  <c r="A33" i="18"/>
  <c r="C32" i="18"/>
  <c r="A32" i="18"/>
  <c r="C31" i="18"/>
  <c r="A31" i="18"/>
  <c r="C30" i="18"/>
  <c r="A30" i="18"/>
  <c r="C29" i="18"/>
  <c r="A29" i="18"/>
  <c r="C28" i="18"/>
  <c r="A28" i="18"/>
  <c r="C27" i="18"/>
  <c r="A27" i="18"/>
  <c r="C26" i="18"/>
  <c r="A26" i="18"/>
  <c r="C25" i="18"/>
  <c r="A25" i="18"/>
  <c r="C24" i="18"/>
  <c r="A24" i="18"/>
  <c r="C23" i="18"/>
  <c r="A23" i="18"/>
  <c r="C22" i="18"/>
  <c r="A22" i="18"/>
  <c r="C21" i="18"/>
  <c r="A21" i="18"/>
  <c r="J20" i="18"/>
  <c r="I20" i="18"/>
  <c r="H20" i="18"/>
  <c r="G20" i="18"/>
  <c r="F20" i="18"/>
  <c r="E20" i="18"/>
  <c r="D20" i="18"/>
  <c r="C18" i="18"/>
  <c r="F17" i="18" s="1"/>
  <c r="F33" i="18" s="1"/>
  <c r="J17" i="18"/>
  <c r="J33" i="18" s="1"/>
  <c r="I16" i="18"/>
  <c r="I32" i="18" s="1"/>
  <c r="F16" i="18"/>
  <c r="F32" i="18" s="1"/>
  <c r="E15" i="18"/>
  <c r="E31" i="18" s="1"/>
  <c r="H14" i="18"/>
  <c r="H30" i="18" s="1"/>
  <c r="G13" i="18"/>
  <c r="G29" i="18" s="1"/>
  <c r="F13" i="18"/>
  <c r="F29" i="18" s="1"/>
  <c r="G12" i="18"/>
  <c r="G28" i="18" s="1"/>
  <c r="F12" i="18"/>
  <c r="F28" i="18" s="1"/>
  <c r="H11" i="18"/>
  <c r="H27" i="18" s="1"/>
  <c r="E11" i="18"/>
  <c r="E27" i="18" s="1"/>
  <c r="G10" i="18"/>
  <c r="G26" i="18" s="1"/>
  <c r="E10" i="18"/>
  <c r="E26" i="18" s="1"/>
  <c r="G9" i="18"/>
  <c r="G25" i="18" s="1"/>
  <c r="F9" i="18"/>
  <c r="F25" i="18" s="1"/>
  <c r="G8" i="18"/>
  <c r="G24" i="18" s="1"/>
  <c r="E8" i="18"/>
  <c r="E24" i="18" s="1"/>
  <c r="F7" i="18"/>
  <c r="F23" i="18" s="1"/>
  <c r="E7" i="18"/>
  <c r="E23" i="18" s="1"/>
  <c r="G6" i="18"/>
  <c r="G22" i="18" s="1"/>
  <c r="E6" i="18"/>
  <c r="E22" i="18" s="1"/>
  <c r="G5" i="18"/>
  <c r="G21" i="18" s="1"/>
  <c r="D5" i="18"/>
  <c r="D21" i="18" s="1"/>
  <c r="G34" i="19" l="1"/>
  <c r="J34" i="19"/>
  <c r="I34" i="19"/>
  <c r="E34" i="19"/>
  <c r="D34" i="19"/>
  <c r="H34" i="19"/>
  <c r="F34" i="19"/>
  <c r="H5" i="18"/>
  <c r="H21" i="18" s="1"/>
  <c r="H6" i="18"/>
  <c r="H22" i="18" s="1"/>
  <c r="I7" i="18"/>
  <c r="I23" i="18" s="1"/>
  <c r="I8" i="18"/>
  <c r="I24" i="18" s="1"/>
  <c r="H9" i="18"/>
  <c r="H25" i="18" s="1"/>
  <c r="I10" i="18"/>
  <c r="I26" i="18" s="1"/>
  <c r="I11" i="18"/>
  <c r="I27" i="18" s="1"/>
  <c r="I12" i="18"/>
  <c r="I28" i="18" s="1"/>
  <c r="D14" i="18"/>
  <c r="D30" i="18" s="1"/>
  <c r="H15" i="18"/>
  <c r="H31" i="18" s="1"/>
  <c r="J16" i="18"/>
  <c r="J32" i="18" s="1"/>
  <c r="J5" i="18"/>
  <c r="J21" i="18" s="1"/>
  <c r="D7" i="18"/>
  <c r="D23" i="18" s="1"/>
  <c r="J7" i="18"/>
  <c r="J23" i="18" s="1"/>
  <c r="J8" i="18"/>
  <c r="J24" i="18" s="1"/>
  <c r="D10" i="18"/>
  <c r="D26" i="18" s="1"/>
  <c r="D11" i="18"/>
  <c r="D27" i="18" s="1"/>
  <c r="J11" i="18"/>
  <c r="J27" i="18" s="1"/>
  <c r="D13" i="18"/>
  <c r="D29" i="18" s="1"/>
  <c r="G14" i="18"/>
  <c r="G30" i="18" s="1"/>
  <c r="I15" i="18"/>
  <c r="I31" i="18" s="1"/>
  <c r="G17" i="18"/>
  <c r="G33" i="18" s="1"/>
  <c r="D41" i="18"/>
  <c r="F41" i="18" s="1"/>
  <c r="F5" i="18"/>
  <c r="F21" i="18" s="1"/>
  <c r="D6" i="18"/>
  <c r="D22" i="18" s="1"/>
  <c r="I6" i="18"/>
  <c r="I22" i="18" s="1"/>
  <c r="H7" i="18"/>
  <c r="H23" i="18" s="1"/>
  <c r="F8" i="18"/>
  <c r="F24" i="18" s="1"/>
  <c r="D9" i="18"/>
  <c r="D25" i="18" s="1"/>
  <c r="J9" i="18"/>
  <c r="J25" i="18" s="1"/>
  <c r="H10" i="18"/>
  <c r="H26" i="18" s="1"/>
  <c r="F11" i="18"/>
  <c r="F27" i="18" s="1"/>
  <c r="E12" i="18"/>
  <c r="E28" i="18" s="1"/>
  <c r="J12" i="18"/>
  <c r="J28" i="18" s="1"/>
  <c r="J13" i="18"/>
  <c r="J29" i="18" s="1"/>
  <c r="D15" i="18"/>
  <c r="D31" i="18" s="1"/>
  <c r="E16" i="18"/>
  <c r="E32" i="18" s="1"/>
  <c r="C34" i="18"/>
  <c r="D42" i="18"/>
  <c r="F42" i="18" s="1"/>
  <c r="D38" i="18"/>
  <c r="F38" i="18" s="1"/>
  <c r="I17" i="18"/>
  <c r="I33" i="18" s="1"/>
  <c r="E17" i="18"/>
  <c r="E33" i="18" s="1"/>
  <c r="H16" i="18"/>
  <c r="H32" i="18" s="1"/>
  <c r="D16" i="18"/>
  <c r="D32" i="18" s="1"/>
  <c r="G15" i="18"/>
  <c r="G31" i="18" s="1"/>
  <c r="J14" i="18"/>
  <c r="J30" i="18" s="1"/>
  <c r="F14" i="18"/>
  <c r="F30" i="18" s="1"/>
  <c r="I13" i="18"/>
  <c r="I29" i="18" s="1"/>
  <c r="E13" i="18"/>
  <c r="E29" i="18" s="1"/>
  <c r="H12" i="18"/>
  <c r="H28" i="18" s="1"/>
  <c r="D12" i="18"/>
  <c r="D28" i="18" s="1"/>
  <c r="G11" i="18"/>
  <c r="G27" i="18" s="1"/>
  <c r="J10" i="18"/>
  <c r="J26" i="18" s="1"/>
  <c r="F10" i="18"/>
  <c r="F26" i="18" s="1"/>
  <c r="I9" i="18"/>
  <c r="I25" i="18" s="1"/>
  <c r="E9" i="18"/>
  <c r="E25" i="18" s="1"/>
  <c r="H8" i="18"/>
  <c r="H24" i="18" s="1"/>
  <c r="D8" i="18"/>
  <c r="D24" i="18" s="1"/>
  <c r="G7" i="18"/>
  <c r="G23" i="18" s="1"/>
  <c r="J6" i="18"/>
  <c r="J22" i="18" s="1"/>
  <c r="F6" i="18"/>
  <c r="F22" i="18" s="1"/>
  <c r="I5" i="18"/>
  <c r="I21" i="18" s="1"/>
  <c r="E5" i="18"/>
  <c r="E21" i="18" s="1"/>
  <c r="D39" i="18"/>
  <c r="F39" i="18" s="1"/>
  <c r="H17" i="18"/>
  <c r="H33" i="18" s="1"/>
  <c r="D17" i="18"/>
  <c r="D33" i="18" s="1"/>
  <c r="G16" i="18"/>
  <c r="G32" i="18" s="1"/>
  <c r="J15" i="18"/>
  <c r="J31" i="18" s="1"/>
  <c r="F15" i="18"/>
  <c r="F31" i="18" s="1"/>
  <c r="I14" i="18"/>
  <c r="I30" i="18" s="1"/>
  <c r="E14" i="18"/>
  <c r="E30" i="18" s="1"/>
  <c r="H13" i="18"/>
  <c r="H29" i="18" s="1"/>
  <c r="D40" i="18"/>
  <c r="F40" i="18" s="1"/>
  <c r="F42" i="17"/>
  <c r="D42" i="17"/>
  <c r="D40" i="17"/>
  <c r="C42" i="17"/>
  <c r="C41" i="17"/>
  <c r="C40" i="17"/>
  <c r="C39" i="17"/>
  <c r="C38" i="17"/>
  <c r="C33" i="17"/>
  <c r="A33" i="17"/>
  <c r="C32" i="17"/>
  <c r="A32" i="17"/>
  <c r="C31" i="17"/>
  <c r="A31" i="17"/>
  <c r="C30" i="17"/>
  <c r="A30" i="17"/>
  <c r="C29" i="17"/>
  <c r="A29" i="17"/>
  <c r="C28" i="17"/>
  <c r="A28" i="17"/>
  <c r="C27" i="17"/>
  <c r="A27" i="17"/>
  <c r="C26" i="17"/>
  <c r="A26" i="17"/>
  <c r="C25" i="17"/>
  <c r="A25" i="17"/>
  <c r="C24" i="17"/>
  <c r="A24" i="17"/>
  <c r="C23" i="17"/>
  <c r="A23" i="17"/>
  <c r="C22" i="17"/>
  <c r="A22" i="17"/>
  <c r="C21" i="17"/>
  <c r="A21" i="17"/>
  <c r="J20" i="17"/>
  <c r="I20" i="17"/>
  <c r="H20" i="17"/>
  <c r="G20" i="17"/>
  <c r="F20" i="17"/>
  <c r="E20" i="17"/>
  <c r="D20" i="17"/>
  <c r="C18" i="17"/>
  <c r="D39" i="17" s="1"/>
  <c r="F39" i="17" s="1"/>
  <c r="J17" i="17"/>
  <c r="J33" i="17" s="1"/>
  <c r="H16" i="17"/>
  <c r="H32" i="17" s="1"/>
  <c r="D15" i="17"/>
  <c r="D31" i="17" s="1"/>
  <c r="J14" i="17"/>
  <c r="J30" i="17" s="1"/>
  <c r="G13" i="17"/>
  <c r="G29" i="17" s="1"/>
  <c r="D12" i="17"/>
  <c r="D28" i="17" s="1"/>
  <c r="I11" i="17"/>
  <c r="I27" i="17" s="1"/>
  <c r="G10" i="17"/>
  <c r="G26" i="17" s="1"/>
  <c r="J8" i="17"/>
  <c r="J24" i="17" s="1"/>
  <c r="I8" i="17"/>
  <c r="I24" i="17" s="1"/>
  <c r="G7" i="17"/>
  <c r="G23" i="17" s="1"/>
  <c r="J5" i="17"/>
  <c r="J21" i="17" s="1"/>
  <c r="I5" i="17"/>
  <c r="I21" i="17" s="1"/>
  <c r="D34" i="18" l="1"/>
  <c r="H34" i="18"/>
  <c r="J34" i="18"/>
  <c r="G34" i="18"/>
  <c r="F34" i="18"/>
  <c r="I34" i="18"/>
  <c r="E34" i="18"/>
  <c r="E7" i="17"/>
  <c r="E23" i="17" s="1"/>
  <c r="F10" i="17"/>
  <c r="F26" i="17" s="1"/>
  <c r="F13" i="17"/>
  <c r="F29" i="17" s="1"/>
  <c r="F16" i="17"/>
  <c r="F32" i="17" s="1"/>
  <c r="G6" i="17"/>
  <c r="G22" i="17" s="1"/>
  <c r="D8" i="17"/>
  <c r="D24" i="17" s="1"/>
  <c r="G9" i="17"/>
  <c r="G25" i="17" s="1"/>
  <c r="D11" i="17"/>
  <c r="D27" i="17" s="1"/>
  <c r="H12" i="17"/>
  <c r="H28" i="17" s="1"/>
  <c r="D14" i="17"/>
  <c r="D30" i="17" s="1"/>
  <c r="H15" i="17"/>
  <c r="H31" i="17" s="1"/>
  <c r="E17" i="17"/>
  <c r="E33" i="17" s="1"/>
  <c r="E5" i="17"/>
  <c r="E21" i="17" s="1"/>
  <c r="H6" i="17"/>
  <c r="H22" i="17" s="1"/>
  <c r="E8" i="17"/>
  <c r="E24" i="17" s="1"/>
  <c r="I9" i="17"/>
  <c r="I25" i="17" s="1"/>
  <c r="E11" i="17"/>
  <c r="E27" i="17" s="1"/>
  <c r="I12" i="17"/>
  <c r="I28" i="17" s="1"/>
  <c r="F14" i="17"/>
  <c r="F30" i="17" s="1"/>
  <c r="I15" i="17"/>
  <c r="I31" i="17" s="1"/>
  <c r="F17" i="17"/>
  <c r="F33" i="17" s="1"/>
  <c r="F5" i="17"/>
  <c r="F21" i="17" s="1"/>
  <c r="D6" i="17"/>
  <c r="D22" i="17" s="1"/>
  <c r="J6" i="17"/>
  <c r="J22" i="17" s="1"/>
  <c r="H7" i="17"/>
  <c r="H23" i="17" s="1"/>
  <c r="F8" i="17"/>
  <c r="F24" i="17" s="1"/>
  <c r="E9" i="17"/>
  <c r="E25" i="17" s="1"/>
  <c r="J9" i="17"/>
  <c r="J25" i="17" s="1"/>
  <c r="H10" i="17"/>
  <c r="H26" i="17" s="1"/>
  <c r="G11" i="17"/>
  <c r="G27" i="17" s="1"/>
  <c r="E12" i="17"/>
  <c r="E28" i="17" s="1"/>
  <c r="J12" i="17"/>
  <c r="J28" i="17" s="1"/>
  <c r="I13" i="17"/>
  <c r="I29" i="17" s="1"/>
  <c r="G14" i="17"/>
  <c r="G30" i="17" s="1"/>
  <c r="E15" i="17"/>
  <c r="E31" i="17" s="1"/>
  <c r="D16" i="17"/>
  <c r="D32" i="17" s="1"/>
  <c r="I16" i="17"/>
  <c r="I32" i="17" s="1"/>
  <c r="G17" i="17"/>
  <c r="G33" i="17" s="1"/>
  <c r="C34" i="17"/>
  <c r="G5" i="17"/>
  <c r="G21" i="17" s="1"/>
  <c r="F6" i="17"/>
  <c r="F22" i="17" s="1"/>
  <c r="D7" i="17"/>
  <c r="D23" i="17" s="1"/>
  <c r="I7" i="17"/>
  <c r="I23" i="17" s="1"/>
  <c r="H8" i="17"/>
  <c r="H24" i="17" s="1"/>
  <c r="F9" i="17"/>
  <c r="F25" i="17" s="1"/>
  <c r="D10" i="17"/>
  <c r="D26" i="17" s="1"/>
  <c r="J10" i="17"/>
  <c r="J26" i="17" s="1"/>
  <c r="H11" i="17"/>
  <c r="H27" i="17" s="1"/>
  <c r="F12" i="17"/>
  <c r="F28" i="17" s="1"/>
  <c r="E13" i="17"/>
  <c r="E29" i="17" s="1"/>
  <c r="J13" i="17"/>
  <c r="J29" i="17" s="1"/>
  <c r="H14" i="17"/>
  <c r="H30" i="17" s="1"/>
  <c r="G15" i="17"/>
  <c r="G31" i="17" s="1"/>
  <c r="E16" i="17"/>
  <c r="E32" i="17" s="1"/>
  <c r="J16" i="17"/>
  <c r="J32" i="17" s="1"/>
  <c r="I17" i="17"/>
  <c r="I33" i="17" s="1"/>
  <c r="D38" i="17"/>
  <c r="F38" i="17" s="1"/>
  <c r="D41" i="17"/>
  <c r="F41" i="17" s="1"/>
  <c r="F40" i="17"/>
  <c r="D5" i="17"/>
  <c r="D21" i="17" s="1"/>
  <c r="H5" i="17"/>
  <c r="H21" i="17" s="1"/>
  <c r="E6" i="17"/>
  <c r="E22" i="17" s="1"/>
  <c r="I6" i="17"/>
  <c r="I22" i="17" s="1"/>
  <c r="F7" i="17"/>
  <c r="F23" i="17" s="1"/>
  <c r="J7" i="17"/>
  <c r="J23" i="17" s="1"/>
  <c r="G8" i="17"/>
  <c r="G24" i="17" s="1"/>
  <c r="D9" i="17"/>
  <c r="D25" i="17" s="1"/>
  <c r="H9" i="17"/>
  <c r="H25" i="17" s="1"/>
  <c r="E10" i="17"/>
  <c r="E26" i="17" s="1"/>
  <c r="I10" i="17"/>
  <c r="I26" i="17" s="1"/>
  <c r="F11" i="17"/>
  <c r="F27" i="17" s="1"/>
  <c r="J11" i="17"/>
  <c r="J27" i="17" s="1"/>
  <c r="G12" i="17"/>
  <c r="G28" i="17" s="1"/>
  <c r="D13" i="17"/>
  <c r="D29" i="17" s="1"/>
  <c r="H13" i="17"/>
  <c r="H29" i="17" s="1"/>
  <c r="E14" i="17"/>
  <c r="E30" i="17" s="1"/>
  <c r="I14" i="17"/>
  <c r="I30" i="17" s="1"/>
  <c r="F15" i="17"/>
  <c r="F31" i="17" s="1"/>
  <c r="J15" i="17"/>
  <c r="J31" i="17" s="1"/>
  <c r="G16" i="17"/>
  <c r="G32" i="17" s="1"/>
  <c r="D17" i="17"/>
  <c r="D33" i="17" s="1"/>
  <c r="H17" i="17"/>
  <c r="H33" i="17" s="1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109" i="16"/>
  <c r="C107" i="16"/>
  <c r="C106" i="16"/>
  <c r="C101" i="16"/>
  <c r="A101" i="16"/>
  <c r="C100" i="16"/>
  <c r="A100" i="16"/>
  <c r="C99" i="16"/>
  <c r="A99" i="16"/>
  <c r="C98" i="16"/>
  <c r="A98" i="16"/>
  <c r="C97" i="16"/>
  <c r="A97" i="16"/>
  <c r="C96" i="16"/>
  <c r="A96" i="16"/>
  <c r="C95" i="16"/>
  <c r="A95" i="16"/>
  <c r="C94" i="16"/>
  <c r="A94" i="16"/>
  <c r="C93" i="16"/>
  <c r="A93" i="16"/>
  <c r="C92" i="16"/>
  <c r="A92" i="16"/>
  <c r="C91" i="16"/>
  <c r="A91" i="16"/>
  <c r="C90" i="16"/>
  <c r="A90" i="16"/>
  <c r="C55" i="16"/>
  <c r="A55" i="16"/>
  <c r="J54" i="16"/>
  <c r="I54" i="16"/>
  <c r="H54" i="16"/>
  <c r="G54" i="16"/>
  <c r="F54" i="16"/>
  <c r="E54" i="16"/>
  <c r="D54" i="16"/>
  <c r="C52" i="16"/>
  <c r="F22" i="16" s="1"/>
  <c r="F72" i="16" s="1"/>
  <c r="G34" i="17" l="1"/>
  <c r="E34" i="17"/>
  <c r="J34" i="17"/>
  <c r="D34" i="17"/>
  <c r="I34" i="17"/>
  <c r="F34" i="17"/>
  <c r="H34" i="17"/>
  <c r="D107" i="16"/>
  <c r="F107" i="16" s="1"/>
  <c r="F41" i="16"/>
  <c r="F91" i="16" s="1"/>
  <c r="D22" i="16"/>
  <c r="D72" i="16" s="1"/>
  <c r="E45" i="16"/>
  <c r="E95" i="16" s="1"/>
  <c r="E36" i="16"/>
  <c r="E86" i="16" s="1"/>
  <c r="F46" i="16"/>
  <c r="F96" i="16" s="1"/>
  <c r="D38" i="16"/>
  <c r="D88" i="16" s="1"/>
  <c r="F37" i="16"/>
  <c r="F87" i="16" s="1"/>
  <c r="D5" i="16"/>
  <c r="D55" i="16" s="1"/>
  <c r="G51" i="16"/>
  <c r="G101" i="16" s="1"/>
  <c r="D31" i="16"/>
  <c r="D81" i="16" s="1"/>
  <c r="D26" i="16"/>
  <c r="D76" i="16" s="1"/>
  <c r="E28" i="16"/>
  <c r="E78" i="16" s="1"/>
  <c r="F49" i="16"/>
  <c r="F99" i="16" s="1"/>
  <c r="F8" i="16"/>
  <c r="F58" i="16" s="1"/>
  <c r="F12" i="16"/>
  <c r="F62" i="16" s="1"/>
  <c r="F15" i="16"/>
  <c r="F65" i="16" s="1"/>
  <c r="F16" i="16"/>
  <c r="F66" i="16" s="1"/>
  <c r="F24" i="16"/>
  <c r="F74" i="16" s="1"/>
  <c r="F29" i="16"/>
  <c r="F79" i="16" s="1"/>
  <c r="F32" i="16"/>
  <c r="F82" i="16" s="1"/>
  <c r="F36" i="16"/>
  <c r="F86" i="16" s="1"/>
  <c r="E6" i="16"/>
  <c r="E56" i="16" s="1"/>
  <c r="E10" i="16"/>
  <c r="E60" i="16" s="1"/>
  <c r="E14" i="16"/>
  <c r="E64" i="16" s="1"/>
  <c r="E18" i="16"/>
  <c r="E68" i="16" s="1"/>
  <c r="E20" i="16"/>
  <c r="E70" i="16" s="1"/>
  <c r="E25" i="16"/>
  <c r="E75" i="16" s="1"/>
  <c r="E34" i="16"/>
  <c r="E84" i="16" s="1"/>
  <c r="E38" i="16"/>
  <c r="E88" i="16" s="1"/>
  <c r="D8" i="16"/>
  <c r="D58" i="16" s="1"/>
  <c r="D12" i="16"/>
  <c r="D62" i="16" s="1"/>
  <c r="F9" i="16"/>
  <c r="F59" i="16" s="1"/>
  <c r="F10" i="16"/>
  <c r="F60" i="16" s="1"/>
  <c r="F19" i="16"/>
  <c r="F69" i="16" s="1"/>
  <c r="F20" i="16"/>
  <c r="F70" i="16" s="1"/>
  <c r="F23" i="16"/>
  <c r="F73" i="16" s="1"/>
  <c r="F27" i="16"/>
  <c r="F77" i="16" s="1"/>
  <c r="F35" i="16"/>
  <c r="F85" i="16" s="1"/>
  <c r="E7" i="16"/>
  <c r="E57" i="16" s="1"/>
  <c r="E13" i="16"/>
  <c r="E63" i="16" s="1"/>
  <c r="E16" i="16"/>
  <c r="E66" i="16" s="1"/>
  <c r="E22" i="16"/>
  <c r="E72" i="16" s="1"/>
  <c r="E26" i="16"/>
  <c r="E76" i="16" s="1"/>
  <c r="E29" i="16"/>
  <c r="E79" i="16" s="1"/>
  <c r="E33" i="16"/>
  <c r="E83" i="16" s="1"/>
  <c r="E39" i="16"/>
  <c r="E89" i="16" s="1"/>
  <c r="D11" i="16"/>
  <c r="D61" i="16" s="1"/>
  <c r="D15" i="16"/>
  <c r="D65" i="16" s="1"/>
  <c r="D16" i="16"/>
  <c r="D66" i="16" s="1"/>
  <c r="D24" i="16"/>
  <c r="D74" i="16" s="1"/>
  <c r="D29" i="16"/>
  <c r="D79" i="16" s="1"/>
  <c r="D32" i="16"/>
  <c r="D82" i="16" s="1"/>
  <c r="D36" i="16"/>
  <c r="D86" i="16" s="1"/>
  <c r="H48" i="16"/>
  <c r="H98" i="16" s="1"/>
  <c r="J45" i="16"/>
  <c r="J95" i="16" s="1"/>
  <c r="J42" i="16"/>
  <c r="J92" i="16" s="1"/>
  <c r="G5" i="16"/>
  <c r="G55" i="16" s="1"/>
  <c r="F13" i="16"/>
  <c r="F63" i="16" s="1"/>
  <c r="F18" i="16"/>
  <c r="F68" i="16" s="1"/>
  <c r="F28" i="16"/>
  <c r="F78" i="16" s="1"/>
  <c r="F34" i="16"/>
  <c r="F84" i="16" s="1"/>
  <c r="E8" i="16"/>
  <c r="E58" i="16" s="1"/>
  <c r="E11" i="16"/>
  <c r="E61" i="16" s="1"/>
  <c r="E23" i="16"/>
  <c r="E73" i="16" s="1"/>
  <c r="E27" i="16"/>
  <c r="E77" i="16" s="1"/>
  <c r="E32" i="16"/>
  <c r="E82" i="16" s="1"/>
  <c r="D6" i="16"/>
  <c r="D56" i="16" s="1"/>
  <c r="D19" i="16"/>
  <c r="D69" i="16" s="1"/>
  <c r="D20" i="16"/>
  <c r="D70" i="16" s="1"/>
  <c r="D23" i="16"/>
  <c r="D73" i="16" s="1"/>
  <c r="D27" i="16"/>
  <c r="D77" i="16" s="1"/>
  <c r="D35" i="16"/>
  <c r="D85" i="16" s="1"/>
  <c r="E48" i="16"/>
  <c r="E98" i="16" s="1"/>
  <c r="D44" i="16"/>
  <c r="D94" i="16" s="1"/>
  <c r="H40" i="16"/>
  <c r="H90" i="16" s="1"/>
  <c r="D37" i="16"/>
  <c r="D87" i="16" s="1"/>
  <c r="D30" i="16"/>
  <c r="D80" i="16" s="1"/>
  <c r="D25" i="16"/>
  <c r="D75" i="16" s="1"/>
  <c r="D21" i="16"/>
  <c r="D71" i="16" s="1"/>
  <c r="D14" i="16"/>
  <c r="D64" i="16" s="1"/>
  <c r="D9" i="16"/>
  <c r="D59" i="16" s="1"/>
  <c r="E35" i="16"/>
  <c r="E85" i="16" s="1"/>
  <c r="E21" i="16"/>
  <c r="E71" i="16" s="1"/>
  <c r="E17" i="16"/>
  <c r="E67" i="16" s="1"/>
  <c r="E9" i="16"/>
  <c r="E59" i="16" s="1"/>
  <c r="F33" i="16"/>
  <c r="F83" i="16" s="1"/>
  <c r="F26" i="16"/>
  <c r="F76" i="16" s="1"/>
  <c r="F21" i="16"/>
  <c r="F71" i="16" s="1"/>
  <c r="F17" i="16"/>
  <c r="F67" i="16" s="1"/>
  <c r="F14" i="16"/>
  <c r="F64" i="16" s="1"/>
  <c r="F7" i="16"/>
  <c r="F57" i="16" s="1"/>
  <c r="I41" i="16"/>
  <c r="I91" i="16" s="1"/>
  <c r="G47" i="16"/>
  <c r="G97" i="16" s="1"/>
  <c r="D34" i="16"/>
  <c r="D84" i="16" s="1"/>
  <c r="D28" i="16"/>
  <c r="D78" i="16" s="1"/>
  <c r="D18" i="16"/>
  <c r="D68" i="16" s="1"/>
  <c r="D13" i="16"/>
  <c r="D63" i="16" s="1"/>
  <c r="D7" i="16"/>
  <c r="D57" i="16" s="1"/>
  <c r="E31" i="16"/>
  <c r="E81" i="16" s="1"/>
  <c r="E12" i="16"/>
  <c r="E62" i="16" s="1"/>
  <c r="F39" i="16"/>
  <c r="F89" i="16" s="1"/>
  <c r="F31" i="16"/>
  <c r="F81" i="16" s="1"/>
  <c r="F25" i="16"/>
  <c r="F75" i="16" s="1"/>
  <c r="F11" i="16"/>
  <c r="F61" i="16" s="1"/>
  <c r="F6" i="16"/>
  <c r="F56" i="16" s="1"/>
  <c r="H43" i="16"/>
  <c r="H93" i="16" s="1"/>
  <c r="I49" i="16"/>
  <c r="I99" i="16" s="1"/>
  <c r="D39" i="16"/>
  <c r="D89" i="16" s="1"/>
  <c r="D33" i="16"/>
  <c r="D83" i="16" s="1"/>
  <c r="D17" i="16"/>
  <c r="D67" i="16" s="1"/>
  <c r="D10" i="16"/>
  <c r="D60" i="16" s="1"/>
  <c r="E37" i="16"/>
  <c r="E87" i="16" s="1"/>
  <c r="E30" i="16"/>
  <c r="E80" i="16" s="1"/>
  <c r="E24" i="16"/>
  <c r="E74" i="16" s="1"/>
  <c r="E19" i="16"/>
  <c r="E69" i="16" s="1"/>
  <c r="E15" i="16"/>
  <c r="E65" i="16" s="1"/>
  <c r="F38" i="16"/>
  <c r="F88" i="16" s="1"/>
  <c r="F30" i="16"/>
  <c r="F80" i="16" s="1"/>
  <c r="E40" i="16"/>
  <c r="E90" i="16" s="1"/>
  <c r="G42" i="16"/>
  <c r="G92" i="16" s="1"/>
  <c r="I44" i="16"/>
  <c r="I94" i="16" s="1"/>
  <c r="D47" i="16"/>
  <c r="D97" i="16" s="1"/>
  <c r="D109" i="16"/>
  <c r="F109" i="16" s="1"/>
  <c r="J51" i="16"/>
  <c r="J101" i="16" s="1"/>
  <c r="F51" i="16"/>
  <c r="F101" i="16" s="1"/>
  <c r="I50" i="16"/>
  <c r="I100" i="16" s="1"/>
  <c r="E50" i="16"/>
  <c r="E100" i="16" s="1"/>
  <c r="H49" i="16"/>
  <c r="H99" i="16" s="1"/>
  <c r="D49" i="16"/>
  <c r="D99" i="16" s="1"/>
  <c r="G48" i="16"/>
  <c r="G98" i="16" s="1"/>
  <c r="J47" i="16"/>
  <c r="J97" i="16" s="1"/>
  <c r="F47" i="16"/>
  <c r="F97" i="16" s="1"/>
  <c r="I46" i="16"/>
  <c r="I96" i="16" s="1"/>
  <c r="E46" i="16"/>
  <c r="E96" i="16" s="1"/>
  <c r="H45" i="16"/>
  <c r="H95" i="16" s="1"/>
  <c r="D45" i="16"/>
  <c r="D95" i="16" s="1"/>
  <c r="G44" i="16"/>
  <c r="G94" i="16" s="1"/>
  <c r="J43" i="16"/>
  <c r="J93" i="16" s="1"/>
  <c r="F43" i="16"/>
  <c r="F93" i="16" s="1"/>
  <c r="I42" i="16"/>
  <c r="I92" i="16" s="1"/>
  <c r="E42" i="16"/>
  <c r="E92" i="16" s="1"/>
  <c r="H41" i="16"/>
  <c r="H91" i="16" s="1"/>
  <c r="D41" i="16"/>
  <c r="D91" i="16" s="1"/>
  <c r="G40" i="16"/>
  <c r="G90" i="16" s="1"/>
  <c r="J5" i="16"/>
  <c r="J55" i="16" s="1"/>
  <c r="F5" i="16"/>
  <c r="F55" i="16" s="1"/>
  <c r="D106" i="16"/>
  <c r="F106" i="16" s="1"/>
  <c r="I51" i="16"/>
  <c r="I101" i="16" s="1"/>
  <c r="E51" i="16"/>
  <c r="E101" i="16" s="1"/>
  <c r="H50" i="16"/>
  <c r="H100" i="16" s="1"/>
  <c r="D50" i="16"/>
  <c r="D100" i="16" s="1"/>
  <c r="G49" i="16"/>
  <c r="G99" i="16" s="1"/>
  <c r="J48" i="16"/>
  <c r="J98" i="16" s="1"/>
  <c r="F48" i="16"/>
  <c r="F98" i="16" s="1"/>
  <c r="I47" i="16"/>
  <c r="I97" i="16" s="1"/>
  <c r="E47" i="16"/>
  <c r="E97" i="16" s="1"/>
  <c r="H46" i="16"/>
  <c r="H96" i="16" s="1"/>
  <c r="D46" i="16"/>
  <c r="D96" i="16" s="1"/>
  <c r="G45" i="16"/>
  <c r="G95" i="16" s="1"/>
  <c r="J44" i="16"/>
  <c r="J94" i="16" s="1"/>
  <c r="F44" i="16"/>
  <c r="F94" i="16" s="1"/>
  <c r="I43" i="16"/>
  <c r="I93" i="16" s="1"/>
  <c r="E43" i="16"/>
  <c r="E93" i="16" s="1"/>
  <c r="H42" i="16"/>
  <c r="H92" i="16" s="1"/>
  <c r="D42" i="16"/>
  <c r="D92" i="16" s="1"/>
  <c r="G41" i="16"/>
  <c r="G91" i="16" s="1"/>
  <c r="J40" i="16"/>
  <c r="J90" i="16" s="1"/>
  <c r="F40" i="16"/>
  <c r="F90" i="16" s="1"/>
  <c r="I5" i="16"/>
  <c r="I55" i="16" s="1"/>
  <c r="E5" i="16"/>
  <c r="E55" i="16" s="1"/>
  <c r="H51" i="16"/>
  <c r="H101" i="16" s="1"/>
  <c r="D51" i="16"/>
  <c r="D101" i="16" s="1"/>
  <c r="G50" i="16"/>
  <c r="G100" i="16" s="1"/>
  <c r="J49" i="16"/>
  <c r="J99" i="16" s="1"/>
  <c r="H5" i="16"/>
  <c r="H55" i="16" s="1"/>
  <c r="I40" i="16"/>
  <c r="I90" i="16" s="1"/>
  <c r="J41" i="16"/>
  <c r="J91" i="16" s="1"/>
  <c r="D43" i="16"/>
  <c r="D93" i="16" s="1"/>
  <c r="E44" i="16"/>
  <c r="E94" i="16" s="1"/>
  <c r="F45" i="16"/>
  <c r="F95" i="16" s="1"/>
  <c r="G46" i="16"/>
  <c r="G96" i="16" s="1"/>
  <c r="H47" i="16"/>
  <c r="H97" i="16" s="1"/>
  <c r="I48" i="16"/>
  <c r="I98" i="16" s="1"/>
  <c r="F50" i="16"/>
  <c r="F100" i="16" s="1"/>
  <c r="D40" i="16"/>
  <c r="D90" i="16" s="1"/>
  <c r="E41" i="16"/>
  <c r="E91" i="16" s="1"/>
  <c r="F42" i="16"/>
  <c r="F92" i="16" s="1"/>
  <c r="G43" i="16"/>
  <c r="G93" i="16" s="1"/>
  <c r="H44" i="16"/>
  <c r="H94" i="16" s="1"/>
  <c r="I45" i="16"/>
  <c r="I95" i="16" s="1"/>
  <c r="J46" i="16"/>
  <c r="J96" i="16" s="1"/>
  <c r="D48" i="16"/>
  <c r="D98" i="16" s="1"/>
  <c r="E49" i="16"/>
  <c r="E99" i="16" s="1"/>
  <c r="J50" i="16"/>
  <c r="J100" i="16" s="1"/>
  <c r="C102" i="16"/>
  <c r="C41" i="15"/>
  <c r="C40" i="15"/>
  <c r="C39" i="15"/>
  <c r="C38" i="15"/>
  <c r="C33" i="15"/>
  <c r="A33" i="15"/>
  <c r="C32" i="15"/>
  <c r="A32" i="15"/>
  <c r="C31" i="15"/>
  <c r="A31" i="15"/>
  <c r="C30" i="15"/>
  <c r="A30" i="15"/>
  <c r="C29" i="15"/>
  <c r="A29" i="15"/>
  <c r="C28" i="15"/>
  <c r="A28" i="15"/>
  <c r="C27" i="15"/>
  <c r="A27" i="15"/>
  <c r="C26" i="15"/>
  <c r="A26" i="15"/>
  <c r="C25" i="15"/>
  <c r="A25" i="15"/>
  <c r="C24" i="15"/>
  <c r="A24" i="15"/>
  <c r="C23" i="15"/>
  <c r="A23" i="15"/>
  <c r="C22" i="15"/>
  <c r="A22" i="15"/>
  <c r="C21" i="15"/>
  <c r="A21" i="15"/>
  <c r="J20" i="15"/>
  <c r="I20" i="15"/>
  <c r="H20" i="15"/>
  <c r="G20" i="15"/>
  <c r="F20" i="15"/>
  <c r="E20" i="15"/>
  <c r="D20" i="15"/>
  <c r="C18" i="15"/>
  <c r="G13" i="15" s="1"/>
  <c r="G29" i="15" s="1"/>
  <c r="H102" i="16" l="1"/>
  <c r="G102" i="16"/>
  <c r="D102" i="16"/>
  <c r="E102" i="16"/>
  <c r="F102" i="16"/>
  <c r="I102" i="16"/>
  <c r="J102" i="16"/>
  <c r="E7" i="15"/>
  <c r="E23" i="15" s="1"/>
  <c r="E10" i="15"/>
  <c r="E26" i="15" s="1"/>
  <c r="D38" i="15"/>
  <c r="F38" i="15" s="1"/>
  <c r="I17" i="15"/>
  <c r="I33" i="15" s="1"/>
  <c r="E17" i="15"/>
  <c r="E33" i="15" s="1"/>
  <c r="H16" i="15"/>
  <c r="H32" i="15" s="1"/>
  <c r="D16" i="15"/>
  <c r="D32" i="15" s="1"/>
  <c r="G15" i="15"/>
  <c r="G31" i="15" s="1"/>
  <c r="J14" i="15"/>
  <c r="J30" i="15" s="1"/>
  <c r="F14" i="15"/>
  <c r="F30" i="15" s="1"/>
  <c r="I13" i="15"/>
  <c r="I29" i="15" s="1"/>
  <c r="E13" i="15"/>
  <c r="E29" i="15" s="1"/>
  <c r="H12" i="15"/>
  <c r="H28" i="15" s="1"/>
  <c r="D12" i="15"/>
  <c r="D28" i="15" s="1"/>
  <c r="G11" i="15"/>
  <c r="G27" i="15" s="1"/>
  <c r="J10" i="15"/>
  <c r="J26" i="15" s="1"/>
  <c r="F10" i="15"/>
  <c r="F26" i="15" s="1"/>
  <c r="I9" i="15"/>
  <c r="I25" i="15" s="1"/>
  <c r="E9" i="15"/>
  <c r="E25" i="15" s="1"/>
  <c r="H8" i="15"/>
  <c r="H24" i="15" s="1"/>
  <c r="D8" i="15"/>
  <c r="D24" i="15" s="1"/>
  <c r="G7" i="15"/>
  <c r="G23" i="15" s="1"/>
  <c r="J6" i="15"/>
  <c r="J22" i="15" s="1"/>
  <c r="F6" i="15"/>
  <c r="F22" i="15" s="1"/>
  <c r="I5" i="15"/>
  <c r="I21" i="15" s="1"/>
  <c r="E5" i="15"/>
  <c r="E21" i="15" s="1"/>
  <c r="D39" i="15"/>
  <c r="F39" i="15" s="1"/>
  <c r="H17" i="15"/>
  <c r="H33" i="15" s="1"/>
  <c r="D17" i="15"/>
  <c r="D33" i="15" s="1"/>
  <c r="G16" i="15"/>
  <c r="G32" i="15" s="1"/>
  <c r="J15" i="15"/>
  <c r="J31" i="15" s="1"/>
  <c r="F15" i="15"/>
  <c r="F31" i="15" s="1"/>
  <c r="I14" i="15"/>
  <c r="I30" i="15" s="1"/>
  <c r="E14" i="15"/>
  <c r="E30" i="15" s="1"/>
  <c r="H13" i="15"/>
  <c r="H29" i="15" s="1"/>
  <c r="D13" i="15"/>
  <c r="D29" i="15" s="1"/>
  <c r="J17" i="15"/>
  <c r="J33" i="15" s="1"/>
  <c r="I16" i="15"/>
  <c r="I32" i="15" s="1"/>
  <c r="H15" i="15"/>
  <c r="H31" i="15" s="1"/>
  <c r="G14" i="15"/>
  <c r="G30" i="15" s="1"/>
  <c r="F13" i="15"/>
  <c r="F29" i="15" s="1"/>
  <c r="F12" i="15"/>
  <c r="F28" i="15" s="1"/>
  <c r="H11" i="15"/>
  <c r="H27" i="15" s="1"/>
  <c r="I10" i="15"/>
  <c r="I26" i="15" s="1"/>
  <c r="D10" i="15"/>
  <c r="D26" i="15" s="1"/>
  <c r="F9" i="15"/>
  <c r="F25" i="15" s="1"/>
  <c r="G8" i="15"/>
  <c r="G24" i="15" s="1"/>
  <c r="I7" i="15"/>
  <c r="I23" i="15" s="1"/>
  <c r="D7" i="15"/>
  <c r="D23" i="15" s="1"/>
  <c r="E6" i="15"/>
  <c r="E22" i="15" s="1"/>
  <c r="G5" i="15"/>
  <c r="G21" i="15" s="1"/>
  <c r="D41" i="15"/>
  <c r="F41" i="15" s="1"/>
  <c r="G17" i="15"/>
  <c r="G33" i="15" s="1"/>
  <c r="F16" i="15"/>
  <c r="F32" i="15" s="1"/>
  <c r="E15" i="15"/>
  <c r="E31" i="15" s="1"/>
  <c r="D14" i="15"/>
  <c r="D30" i="15" s="1"/>
  <c r="J12" i="15"/>
  <c r="J28" i="15" s="1"/>
  <c r="E12" i="15"/>
  <c r="E28" i="15" s="1"/>
  <c r="F11" i="15"/>
  <c r="F27" i="15" s="1"/>
  <c r="H10" i="15"/>
  <c r="H26" i="15" s="1"/>
  <c r="J9" i="15"/>
  <c r="J25" i="15" s="1"/>
  <c r="D9" i="15"/>
  <c r="D25" i="15" s="1"/>
  <c r="F8" i="15"/>
  <c r="F24" i="15" s="1"/>
  <c r="H7" i="15"/>
  <c r="H23" i="15" s="1"/>
  <c r="I6" i="15"/>
  <c r="I22" i="15" s="1"/>
  <c r="D6" i="15"/>
  <c r="D22" i="15" s="1"/>
  <c r="F5" i="15"/>
  <c r="F21" i="15" s="1"/>
  <c r="F17" i="15"/>
  <c r="F33" i="15" s="1"/>
  <c r="E16" i="15"/>
  <c r="E32" i="15" s="1"/>
  <c r="D15" i="15"/>
  <c r="D31" i="15" s="1"/>
  <c r="J13" i="15"/>
  <c r="J29" i="15" s="1"/>
  <c r="I12" i="15"/>
  <c r="I28" i="15" s="1"/>
  <c r="J11" i="15"/>
  <c r="J27" i="15" s="1"/>
  <c r="E11" i="15"/>
  <c r="E27" i="15" s="1"/>
  <c r="G10" i="15"/>
  <c r="G26" i="15" s="1"/>
  <c r="H9" i="15"/>
  <c r="H25" i="15" s="1"/>
  <c r="J8" i="15"/>
  <c r="J24" i="15" s="1"/>
  <c r="E8" i="15"/>
  <c r="E24" i="15" s="1"/>
  <c r="F7" i="15"/>
  <c r="F23" i="15" s="1"/>
  <c r="H6" i="15"/>
  <c r="H22" i="15" s="1"/>
  <c r="J5" i="15"/>
  <c r="J21" i="15" s="1"/>
  <c r="D5" i="15"/>
  <c r="D21" i="15" s="1"/>
  <c r="J7" i="15"/>
  <c r="J23" i="15" s="1"/>
  <c r="D11" i="15"/>
  <c r="D27" i="15" s="1"/>
  <c r="H14" i="15"/>
  <c r="H30" i="15" s="1"/>
  <c r="H5" i="15"/>
  <c r="H21" i="15" s="1"/>
  <c r="I8" i="15"/>
  <c r="I24" i="15" s="1"/>
  <c r="I11" i="15"/>
  <c r="I27" i="15" s="1"/>
  <c r="I15" i="15"/>
  <c r="I31" i="15" s="1"/>
  <c r="D40" i="15"/>
  <c r="F40" i="15" s="1"/>
  <c r="G6" i="15"/>
  <c r="G22" i="15" s="1"/>
  <c r="G9" i="15"/>
  <c r="G25" i="15" s="1"/>
  <c r="G12" i="15"/>
  <c r="G28" i="15" s="1"/>
  <c r="J16" i="15"/>
  <c r="J32" i="15" s="1"/>
  <c r="C34" i="15"/>
  <c r="C41" i="14"/>
  <c r="C40" i="14"/>
  <c r="C39" i="14"/>
  <c r="C38" i="14"/>
  <c r="C33" i="14"/>
  <c r="A33" i="14"/>
  <c r="C32" i="14"/>
  <c r="A32" i="14"/>
  <c r="C31" i="14"/>
  <c r="A31" i="14"/>
  <c r="C30" i="14"/>
  <c r="A30" i="14"/>
  <c r="C29" i="14"/>
  <c r="A29" i="14"/>
  <c r="C28" i="14"/>
  <c r="A28" i="14"/>
  <c r="C27" i="14"/>
  <c r="A27" i="14"/>
  <c r="C26" i="14"/>
  <c r="A26" i="14"/>
  <c r="C25" i="14"/>
  <c r="A25" i="14"/>
  <c r="C24" i="14"/>
  <c r="A24" i="14"/>
  <c r="C23" i="14"/>
  <c r="A23" i="14"/>
  <c r="C22" i="14"/>
  <c r="A22" i="14"/>
  <c r="C21" i="14"/>
  <c r="A21" i="14"/>
  <c r="J20" i="14"/>
  <c r="I20" i="14"/>
  <c r="H20" i="14"/>
  <c r="G20" i="14"/>
  <c r="F20" i="14"/>
  <c r="E20" i="14"/>
  <c r="D20" i="14"/>
  <c r="C18" i="14"/>
  <c r="J16" i="14" s="1"/>
  <c r="J32" i="14" s="1"/>
  <c r="H17" i="14"/>
  <c r="H33" i="14" s="1"/>
  <c r="G17" i="14"/>
  <c r="G33" i="14" s="1"/>
  <c r="F16" i="14"/>
  <c r="F32" i="14" s="1"/>
  <c r="I15" i="14"/>
  <c r="I31" i="14" s="1"/>
  <c r="E15" i="14"/>
  <c r="E31" i="14" s="1"/>
  <c r="E14" i="14"/>
  <c r="E30" i="14" s="1"/>
  <c r="G13" i="14"/>
  <c r="G29" i="14" s="1"/>
  <c r="E13" i="14"/>
  <c r="E29" i="14" s="1"/>
  <c r="G12" i="14"/>
  <c r="G28" i="14" s="1"/>
  <c r="F12" i="14"/>
  <c r="F28" i="14" s="1"/>
  <c r="J11" i="14"/>
  <c r="J27" i="14" s="1"/>
  <c r="E11" i="14"/>
  <c r="E27" i="14" s="1"/>
  <c r="J10" i="14"/>
  <c r="J26" i="14" s="1"/>
  <c r="F10" i="14"/>
  <c r="F26" i="14" s="1"/>
  <c r="D10" i="14"/>
  <c r="D26" i="14" s="1"/>
  <c r="G9" i="14"/>
  <c r="G25" i="14" s="1"/>
  <c r="E9" i="14"/>
  <c r="E25" i="14" s="1"/>
  <c r="G8" i="14"/>
  <c r="G24" i="14" s="1"/>
  <c r="D8" i="14"/>
  <c r="D24" i="14" s="1"/>
  <c r="J7" i="14"/>
  <c r="J23" i="14" s="1"/>
  <c r="E7" i="14"/>
  <c r="E23" i="14" s="1"/>
  <c r="J6" i="14"/>
  <c r="J22" i="14" s="1"/>
  <c r="F6" i="14"/>
  <c r="F22" i="14" s="1"/>
  <c r="I5" i="14"/>
  <c r="I21" i="14" s="1"/>
  <c r="G5" i="14"/>
  <c r="G21" i="14" s="1"/>
  <c r="D5" i="14"/>
  <c r="D21" i="14" s="1"/>
  <c r="H34" i="15" l="1"/>
  <c r="D34" i="15"/>
  <c r="E34" i="15"/>
  <c r="J34" i="15"/>
  <c r="I34" i="15"/>
  <c r="F34" i="15"/>
  <c r="G34" i="15"/>
  <c r="E6" i="14"/>
  <c r="E22" i="14" s="1"/>
  <c r="F7" i="14"/>
  <c r="F23" i="14" s="1"/>
  <c r="J8" i="14"/>
  <c r="J24" i="14" s="1"/>
  <c r="E10" i="14"/>
  <c r="E26" i="14" s="1"/>
  <c r="G11" i="14"/>
  <c r="G27" i="14" s="1"/>
  <c r="D13" i="14"/>
  <c r="D29" i="14" s="1"/>
  <c r="H14" i="14"/>
  <c r="H30" i="14" s="1"/>
  <c r="G16" i="14"/>
  <c r="G32" i="14" s="1"/>
  <c r="H5" i="14"/>
  <c r="H21" i="14" s="1"/>
  <c r="H6" i="14"/>
  <c r="H22" i="14" s="1"/>
  <c r="I7" i="14"/>
  <c r="I23" i="14" s="1"/>
  <c r="H8" i="14"/>
  <c r="H24" i="14" s="1"/>
  <c r="H9" i="14"/>
  <c r="H25" i="14" s="1"/>
  <c r="I10" i="14"/>
  <c r="I26" i="14" s="1"/>
  <c r="I11" i="14"/>
  <c r="I27" i="14" s="1"/>
  <c r="H12" i="14"/>
  <c r="H28" i="14" s="1"/>
  <c r="D14" i="14"/>
  <c r="D30" i="14" s="1"/>
  <c r="F15" i="14"/>
  <c r="F31" i="14" s="1"/>
  <c r="C34" i="14"/>
  <c r="D40" i="14"/>
  <c r="F40" i="14" s="1"/>
  <c r="D41" i="14"/>
  <c r="F41" i="14" s="1"/>
  <c r="J17" i="14"/>
  <c r="J33" i="14" s="1"/>
  <c r="F17" i="14"/>
  <c r="F33" i="14" s="1"/>
  <c r="I16" i="14"/>
  <c r="I32" i="14" s="1"/>
  <c r="E16" i="14"/>
  <c r="E32" i="14" s="1"/>
  <c r="H15" i="14"/>
  <c r="H31" i="14" s="1"/>
  <c r="D15" i="14"/>
  <c r="D31" i="14" s="1"/>
  <c r="G14" i="14"/>
  <c r="G30" i="14" s="1"/>
  <c r="J13" i="14"/>
  <c r="J29" i="14" s="1"/>
  <c r="F13" i="14"/>
  <c r="F29" i="14" s="1"/>
  <c r="I12" i="14"/>
  <c r="I28" i="14" s="1"/>
  <c r="E12" i="14"/>
  <c r="E28" i="14" s="1"/>
  <c r="H11" i="14"/>
  <c r="H27" i="14" s="1"/>
  <c r="D11" i="14"/>
  <c r="D27" i="14" s="1"/>
  <c r="G10" i="14"/>
  <c r="G26" i="14" s="1"/>
  <c r="J9" i="14"/>
  <c r="J25" i="14" s="1"/>
  <c r="F9" i="14"/>
  <c r="F25" i="14" s="1"/>
  <c r="I8" i="14"/>
  <c r="I24" i="14" s="1"/>
  <c r="E8" i="14"/>
  <c r="E24" i="14" s="1"/>
  <c r="H7" i="14"/>
  <c r="H23" i="14" s="1"/>
  <c r="D7" i="14"/>
  <c r="D23" i="14" s="1"/>
  <c r="G6" i="14"/>
  <c r="G22" i="14" s="1"/>
  <c r="J5" i="14"/>
  <c r="J21" i="14" s="1"/>
  <c r="F5" i="14"/>
  <c r="F21" i="14" s="1"/>
  <c r="D38" i="14"/>
  <c r="F38" i="14" s="1"/>
  <c r="I17" i="14"/>
  <c r="I33" i="14" s="1"/>
  <c r="E17" i="14"/>
  <c r="E33" i="14" s="1"/>
  <c r="H16" i="14"/>
  <c r="H32" i="14" s="1"/>
  <c r="D16" i="14"/>
  <c r="D32" i="14" s="1"/>
  <c r="G15" i="14"/>
  <c r="G31" i="14" s="1"/>
  <c r="J14" i="14"/>
  <c r="J30" i="14" s="1"/>
  <c r="F14" i="14"/>
  <c r="F30" i="14" s="1"/>
  <c r="I13" i="14"/>
  <c r="I29" i="14" s="1"/>
  <c r="D39" i="14"/>
  <c r="F39" i="14" s="1"/>
  <c r="E5" i="14"/>
  <c r="E21" i="14" s="1"/>
  <c r="D6" i="14"/>
  <c r="D22" i="14" s="1"/>
  <c r="I6" i="14"/>
  <c r="I22" i="14" s="1"/>
  <c r="G7" i="14"/>
  <c r="G23" i="14" s="1"/>
  <c r="F8" i="14"/>
  <c r="F24" i="14" s="1"/>
  <c r="D9" i="14"/>
  <c r="D25" i="14" s="1"/>
  <c r="I9" i="14"/>
  <c r="I25" i="14" s="1"/>
  <c r="H10" i="14"/>
  <c r="H26" i="14" s="1"/>
  <c r="F11" i="14"/>
  <c r="F27" i="14" s="1"/>
  <c r="D12" i="14"/>
  <c r="D28" i="14" s="1"/>
  <c r="J12" i="14"/>
  <c r="J28" i="14" s="1"/>
  <c r="H13" i="14"/>
  <c r="H29" i="14" s="1"/>
  <c r="I14" i="14"/>
  <c r="I30" i="14" s="1"/>
  <c r="J15" i="14"/>
  <c r="J31" i="14" s="1"/>
  <c r="D17" i="14"/>
  <c r="D33" i="14" s="1"/>
  <c r="C41" i="13"/>
  <c r="C40" i="13"/>
  <c r="C39" i="13"/>
  <c r="C38" i="13"/>
  <c r="C33" i="13"/>
  <c r="A33" i="13"/>
  <c r="C32" i="13"/>
  <c r="A32" i="13"/>
  <c r="C31" i="13"/>
  <c r="A31" i="13"/>
  <c r="C30" i="13"/>
  <c r="A30" i="13"/>
  <c r="C29" i="13"/>
  <c r="A29" i="13"/>
  <c r="C28" i="13"/>
  <c r="A28" i="13"/>
  <c r="C27" i="13"/>
  <c r="A27" i="13"/>
  <c r="C26" i="13"/>
  <c r="A26" i="13"/>
  <c r="C25" i="13"/>
  <c r="A25" i="13"/>
  <c r="C24" i="13"/>
  <c r="A24" i="13"/>
  <c r="C23" i="13"/>
  <c r="A23" i="13"/>
  <c r="C22" i="13"/>
  <c r="A22" i="13"/>
  <c r="C21" i="13"/>
  <c r="A21" i="13"/>
  <c r="J20" i="13"/>
  <c r="I20" i="13"/>
  <c r="H20" i="13"/>
  <c r="G20" i="13"/>
  <c r="F20" i="13"/>
  <c r="E20" i="13"/>
  <c r="D20" i="13"/>
  <c r="C18" i="13"/>
  <c r="E15" i="13" s="1"/>
  <c r="E31" i="13" s="1"/>
  <c r="G17" i="13"/>
  <c r="G33" i="13" s="1"/>
  <c r="I15" i="13"/>
  <c r="I31" i="13" s="1"/>
  <c r="D14" i="13"/>
  <c r="D30" i="13" s="1"/>
  <c r="D13" i="13"/>
  <c r="D29" i="13" s="1"/>
  <c r="J11" i="13"/>
  <c r="J27" i="13" s="1"/>
  <c r="I10" i="13"/>
  <c r="I26" i="13" s="1"/>
  <c r="H9" i="13"/>
  <c r="H25" i="13" s="1"/>
  <c r="G9" i="13"/>
  <c r="G25" i="13" s="1"/>
  <c r="F7" i="13"/>
  <c r="F23" i="13" s="1"/>
  <c r="E7" i="13"/>
  <c r="E23" i="13" s="1"/>
  <c r="E6" i="13"/>
  <c r="E22" i="13" s="1"/>
  <c r="D34" i="14" l="1"/>
  <c r="H34" i="14"/>
  <c r="E34" i="14"/>
  <c r="I34" i="14"/>
  <c r="G34" i="14"/>
  <c r="J34" i="14"/>
  <c r="F34" i="14"/>
  <c r="D5" i="13"/>
  <c r="D21" i="13" s="1"/>
  <c r="G8" i="13"/>
  <c r="G24" i="13" s="1"/>
  <c r="I11" i="13"/>
  <c r="I27" i="13" s="1"/>
  <c r="E14" i="13"/>
  <c r="E30" i="13" s="1"/>
  <c r="D6" i="13"/>
  <c r="D22" i="13" s="1"/>
  <c r="F8" i="13"/>
  <c r="F24" i="13" s="1"/>
  <c r="H10" i="13"/>
  <c r="H26" i="13" s="1"/>
  <c r="J12" i="13"/>
  <c r="J28" i="13" s="1"/>
  <c r="D40" i="13"/>
  <c r="F40" i="13" s="1"/>
  <c r="D41" i="13"/>
  <c r="F41" i="13" s="1"/>
  <c r="J17" i="13"/>
  <c r="J33" i="13" s="1"/>
  <c r="F17" i="13"/>
  <c r="F33" i="13" s="1"/>
  <c r="I16" i="13"/>
  <c r="I32" i="13" s="1"/>
  <c r="E16" i="13"/>
  <c r="E32" i="13" s="1"/>
  <c r="H15" i="13"/>
  <c r="H31" i="13" s="1"/>
  <c r="D15" i="13"/>
  <c r="D31" i="13" s="1"/>
  <c r="G14" i="13"/>
  <c r="G30" i="13" s="1"/>
  <c r="J13" i="13"/>
  <c r="J29" i="13" s="1"/>
  <c r="F13" i="13"/>
  <c r="F29" i="13" s="1"/>
  <c r="I12" i="13"/>
  <c r="I28" i="13" s="1"/>
  <c r="E12" i="13"/>
  <c r="E28" i="13" s="1"/>
  <c r="H11" i="13"/>
  <c r="H27" i="13" s="1"/>
  <c r="D11" i="13"/>
  <c r="D27" i="13" s="1"/>
  <c r="G10" i="13"/>
  <c r="G26" i="13" s="1"/>
  <c r="J9" i="13"/>
  <c r="J25" i="13" s="1"/>
  <c r="F9" i="13"/>
  <c r="F25" i="13" s="1"/>
  <c r="I8" i="13"/>
  <c r="I24" i="13" s="1"/>
  <c r="E8" i="13"/>
  <c r="E24" i="13" s="1"/>
  <c r="H7" i="13"/>
  <c r="H23" i="13" s="1"/>
  <c r="D7" i="13"/>
  <c r="D23" i="13" s="1"/>
  <c r="G6" i="13"/>
  <c r="G22" i="13" s="1"/>
  <c r="J5" i="13"/>
  <c r="J21" i="13" s="1"/>
  <c r="F5" i="13"/>
  <c r="F21" i="13" s="1"/>
  <c r="D38" i="13"/>
  <c r="F38" i="13" s="1"/>
  <c r="I17" i="13"/>
  <c r="I33" i="13" s="1"/>
  <c r="E17" i="13"/>
  <c r="E33" i="13" s="1"/>
  <c r="H16" i="13"/>
  <c r="H32" i="13" s="1"/>
  <c r="D16" i="13"/>
  <c r="D32" i="13" s="1"/>
  <c r="G15" i="13"/>
  <c r="G31" i="13" s="1"/>
  <c r="J14" i="13"/>
  <c r="J30" i="13" s="1"/>
  <c r="F14" i="13"/>
  <c r="F30" i="13" s="1"/>
  <c r="I13" i="13"/>
  <c r="I29" i="13" s="1"/>
  <c r="E13" i="13"/>
  <c r="E29" i="13" s="1"/>
  <c r="H12" i="13"/>
  <c r="H28" i="13" s="1"/>
  <c r="D12" i="13"/>
  <c r="D28" i="13" s="1"/>
  <c r="G11" i="13"/>
  <c r="G27" i="13" s="1"/>
  <c r="J10" i="13"/>
  <c r="J26" i="13" s="1"/>
  <c r="F10" i="13"/>
  <c r="F26" i="13" s="1"/>
  <c r="I9" i="13"/>
  <c r="I25" i="13" s="1"/>
  <c r="E9" i="13"/>
  <c r="E25" i="13" s="1"/>
  <c r="H8" i="13"/>
  <c r="H24" i="13" s="1"/>
  <c r="D8" i="13"/>
  <c r="D24" i="13" s="1"/>
  <c r="G7" i="13"/>
  <c r="G23" i="13" s="1"/>
  <c r="J6" i="13"/>
  <c r="J22" i="13" s="1"/>
  <c r="F6" i="13"/>
  <c r="F22" i="13" s="1"/>
  <c r="I5" i="13"/>
  <c r="I21" i="13" s="1"/>
  <c r="I34" i="13" s="1"/>
  <c r="E5" i="13"/>
  <c r="E21" i="13" s="1"/>
  <c r="H17" i="13"/>
  <c r="H33" i="13" s="1"/>
  <c r="D17" i="13"/>
  <c r="D33" i="13" s="1"/>
  <c r="G16" i="13"/>
  <c r="G32" i="13" s="1"/>
  <c r="J15" i="13"/>
  <c r="J31" i="13" s="1"/>
  <c r="F15" i="13"/>
  <c r="F31" i="13" s="1"/>
  <c r="D39" i="13"/>
  <c r="F39" i="13" s="1"/>
  <c r="G5" i="13"/>
  <c r="G21" i="13" s="1"/>
  <c r="H6" i="13"/>
  <c r="H22" i="13" s="1"/>
  <c r="I7" i="13"/>
  <c r="I23" i="13" s="1"/>
  <c r="J8" i="13"/>
  <c r="J24" i="13" s="1"/>
  <c r="D10" i="13"/>
  <c r="D26" i="13" s="1"/>
  <c r="E11" i="13"/>
  <c r="E27" i="13" s="1"/>
  <c r="F12" i="13"/>
  <c r="F28" i="13" s="1"/>
  <c r="G13" i="13"/>
  <c r="G29" i="13" s="1"/>
  <c r="H14" i="13"/>
  <c r="H30" i="13" s="1"/>
  <c r="F16" i="13"/>
  <c r="F32" i="13" s="1"/>
  <c r="H5" i="13"/>
  <c r="H21" i="13" s="1"/>
  <c r="I6" i="13"/>
  <c r="I22" i="13" s="1"/>
  <c r="J7" i="13"/>
  <c r="J23" i="13" s="1"/>
  <c r="D9" i="13"/>
  <c r="D25" i="13" s="1"/>
  <c r="E10" i="13"/>
  <c r="E26" i="13" s="1"/>
  <c r="F11" i="13"/>
  <c r="F27" i="13" s="1"/>
  <c r="G12" i="13"/>
  <c r="G28" i="13" s="1"/>
  <c r="H13" i="13"/>
  <c r="H29" i="13" s="1"/>
  <c r="I14" i="13"/>
  <c r="I30" i="13" s="1"/>
  <c r="J16" i="13"/>
  <c r="J32" i="13" s="1"/>
  <c r="C34" i="13"/>
  <c r="C40" i="12"/>
  <c r="C39" i="12"/>
  <c r="C38" i="12"/>
  <c r="C37" i="12"/>
  <c r="C32" i="12"/>
  <c r="A32" i="12"/>
  <c r="C31" i="12"/>
  <c r="A31" i="12"/>
  <c r="C30" i="12"/>
  <c r="A30" i="12"/>
  <c r="C29" i="12"/>
  <c r="A29" i="12"/>
  <c r="C28" i="12"/>
  <c r="A28" i="12"/>
  <c r="C27" i="12"/>
  <c r="A27" i="12"/>
  <c r="C26" i="12"/>
  <c r="A26" i="12"/>
  <c r="C25" i="12"/>
  <c r="A25" i="12"/>
  <c r="C24" i="12"/>
  <c r="A24" i="12"/>
  <c r="C23" i="12"/>
  <c r="A23" i="12"/>
  <c r="C22" i="12"/>
  <c r="A22" i="12"/>
  <c r="C21" i="12"/>
  <c r="A21" i="12"/>
  <c r="C20" i="12"/>
  <c r="A20" i="12"/>
  <c r="J19" i="12"/>
  <c r="I19" i="12"/>
  <c r="H19" i="12"/>
  <c r="G19" i="12"/>
  <c r="F19" i="12"/>
  <c r="E19" i="12"/>
  <c r="D19" i="12"/>
  <c r="C17" i="12"/>
  <c r="G16" i="12" s="1"/>
  <c r="G32" i="12" s="1"/>
  <c r="F6" i="12"/>
  <c r="F22" i="12" s="1"/>
  <c r="I9" i="3"/>
  <c r="J9" i="3"/>
  <c r="K9" i="3"/>
  <c r="L9" i="3"/>
  <c r="H9" i="3"/>
  <c r="F34" i="13" l="1"/>
  <c r="G34" i="13"/>
  <c r="D34" i="13"/>
  <c r="J34" i="13"/>
  <c r="E34" i="13"/>
  <c r="H34" i="13"/>
  <c r="E13" i="12"/>
  <c r="E29" i="12" s="1"/>
  <c r="D4" i="12"/>
  <c r="D20" i="12" s="1"/>
  <c r="H8" i="12"/>
  <c r="H24" i="12" s="1"/>
  <c r="J10" i="12"/>
  <c r="J26" i="12" s="1"/>
  <c r="D5" i="12"/>
  <c r="D21" i="12" s="1"/>
  <c r="F7" i="12"/>
  <c r="F23" i="12" s="1"/>
  <c r="H9" i="12"/>
  <c r="H25" i="12" s="1"/>
  <c r="J11" i="12"/>
  <c r="J27" i="12" s="1"/>
  <c r="E14" i="12"/>
  <c r="E30" i="12" s="1"/>
  <c r="E5" i="12"/>
  <c r="E21" i="12" s="1"/>
  <c r="G7" i="12"/>
  <c r="G23" i="12" s="1"/>
  <c r="I9" i="12"/>
  <c r="I25" i="12" s="1"/>
  <c r="D12" i="12"/>
  <c r="D28" i="12" s="1"/>
  <c r="I14" i="12"/>
  <c r="I30" i="12" s="1"/>
  <c r="E6" i="12"/>
  <c r="E22" i="12" s="1"/>
  <c r="G8" i="12"/>
  <c r="G24" i="12" s="1"/>
  <c r="I10" i="12"/>
  <c r="I26" i="12" s="1"/>
  <c r="D13" i="12"/>
  <c r="D29" i="12" s="1"/>
  <c r="D39" i="12"/>
  <c r="F39" i="12" s="1"/>
  <c r="D40" i="12"/>
  <c r="F40" i="12" s="1"/>
  <c r="J16" i="12"/>
  <c r="J32" i="12" s="1"/>
  <c r="F16" i="12"/>
  <c r="F32" i="12" s="1"/>
  <c r="I15" i="12"/>
  <c r="I31" i="12" s="1"/>
  <c r="E15" i="12"/>
  <c r="E31" i="12" s="1"/>
  <c r="H14" i="12"/>
  <c r="H30" i="12" s="1"/>
  <c r="D14" i="12"/>
  <c r="D30" i="12" s="1"/>
  <c r="G13" i="12"/>
  <c r="G29" i="12" s="1"/>
  <c r="J12" i="12"/>
  <c r="J28" i="12" s="1"/>
  <c r="F12" i="12"/>
  <c r="F28" i="12" s="1"/>
  <c r="I11" i="12"/>
  <c r="I27" i="12" s="1"/>
  <c r="E11" i="12"/>
  <c r="E27" i="12" s="1"/>
  <c r="H10" i="12"/>
  <c r="H26" i="12" s="1"/>
  <c r="D10" i="12"/>
  <c r="D26" i="12" s="1"/>
  <c r="G9" i="12"/>
  <c r="G25" i="12" s="1"/>
  <c r="J8" i="12"/>
  <c r="J24" i="12" s="1"/>
  <c r="F8" i="12"/>
  <c r="F24" i="12" s="1"/>
  <c r="I7" i="12"/>
  <c r="I23" i="12" s="1"/>
  <c r="E7" i="12"/>
  <c r="E23" i="12" s="1"/>
  <c r="H6" i="12"/>
  <c r="H22" i="12" s="1"/>
  <c r="D6" i="12"/>
  <c r="D22" i="12" s="1"/>
  <c r="G5" i="12"/>
  <c r="G21" i="12" s="1"/>
  <c r="J4" i="12"/>
  <c r="J20" i="12" s="1"/>
  <c r="F4" i="12"/>
  <c r="F20" i="12" s="1"/>
  <c r="D37" i="12"/>
  <c r="F37" i="12" s="1"/>
  <c r="I16" i="12"/>
  <c r="I32" i="12" s="1"/>
  <c r="E16" i="12"/>
  <c r="E32" i="12" s="1"/>
  <c r="H15" i="12"/>
  <c r="H31" i="12" s="1"/>
  <c r="D15" i="12"/>
  <c r="D31" i="12" s="1"/>
  <c r="G14" i="12"/>
  <c r="G30" i="12" s="1"/>
  <c r="J13" i="12"/>
  <c r="J29" i="12" s="1"/>
  <c r="F13" i="12"/>
  <c r="F29" i="12" s="1"/>
  <c r="I12" i="12"/>
  <c r="I28" i="12" s="1"/>
  <c r="E12" i="12"/>
  <c r="E28" i="12" s="1"/>
  <c r="H11" i="12"/>
  <c r="H27" i="12" s="1"/>
  <c r="D11" i="12"/>
  <c r="D27" i="12" s="1"/>
  <c r="G10" i="12"/>
  <c r="G26" i="12" s="1"/>
  <c r="J9" i="12"/>
  <c r="J25" i="12" s="1"/>
  <c r="F9" i="12"/>
  <c r="F25" i="12" s="1"/>
  <c r="I8" i="12"/>
  <c r="I24" i="12" s="1"/>
  <c r="E8" i="12"/>
  <c r="E24" i="12" s="1"/>
  <c r="H7" i="12"/>
  <c r="H23" i="12" s="1"/>
  <c r="D7" i="12"/>
  <c r="D23" i="12" s="1"/>
  <c r="G6" i="12"/>
  <c r="G22" i="12" s="1"/>
  <c r="J5" i="12"/>
  <c r="J21" i="12" s="1"/>
  <c r="F5" i="12"/>
  <c r="F21" i="12" s="1"/>
  <c r="I4" i="12"/>
  <c r="I20" i="12" s="1"/>
  <c r="E4" i="12"/>
  <c r="E20" i="12" s="1"/>
  <c r="H16" i="12"/>
  <c r="H32" i="12" s="1"/>
  <c r="D16" i="12"/>
  <c r="D32" i="12" s="1"/>
  <c r="G15" i="12"/>
  <c r="G31" i="12" s="1"/>
  <c r="J14" i="12"/>
  <c r="J30" i="12" s="1"/>
  <c r="F14" i="12"/>
  <c r="F30" i="12" s="1"/>
  <c r="D38" i="12"/>
  <c r="F38" i="12" s="1"/>
  <c r="G4" i="12"/>
  <c r="G20" i="12" s="1"/>
  <c r="H5" i="12"/>
  <c r="H21" i="12" s="1"/>
  <c r="I6" i="12"/>
  <c r="I22" i="12" s="1"/>
  <c r="J7" i="12"/>
  <c r="J23" i="12" s="1"/>
  <c r="D9" i="12"/>
  <c r="D25" i="12" s="1"/>
  <c r="E10" i="12"/>
  <c r="E26" i="12" s="1"/>
  <c r="F11" i="12"/>
  <c r="F27" i="12" s="1"/>
  <c r="G12" i="12"/>
  <c r="G28" i="12" s="1"/>
  <c r="H13" i="12"/>
  <c r="H29" i="12" s="1"/>
  <c r="F15" i="12"/>
  <c r="F31" i="12" s="1"/>
  <c r="H4" i="12"/>
  <c r="H20" i="12" s="1"/>
  <c r="I5" i="12"/>
  <c r="I21" i="12" s="1"/>
  <c r="J6" i="12"/>
  <c r="J22" i="12" s="1"/>
  <c r="D8" i="12"/>
  <c r="D24" i="12" s="1"/>
  <c r="E9" i="12"/>
  <c r="E25" i="12" s="1"/>
  <c r="F10" i="12"/>
  <c r="F26" i="12" s="1"/>
  <c r="G11" i="12"/>
  <c r="G27" i="12" s="1"/>
  <c r="H12" i="12"/>
  <c r="H28" i="12" s="1"/>
  <c r="I13" i="12"/>
  <c r="I29" i="12" s="1"/>
  <c r="J15" i="12"/>
  <c r="J31" i="12" s="1"/>
  <c r="C33" i="12"/>
  <c r="D41" i="10"/>
  <c r="F41" i="10" s="1"/>
  <c r="C41" i="10"/>
  <c r="F40" i="10"/>
  <c r="D40" i="10"/>
  <c r="C40" i="10"/>
  <c r="D39" i="10"/>
  <c r="F39" i="10" s="1"/>
  <c r="C39" i="10"/>
  <c r="D38" i="10"/>
  <c r="F38" i="10" s="1"/>
  <c r="C38" i="10"/>
  <c r="F39" i="11"/>
  <c r="F40" i="11"/>
  <c r="F41" i="11"/>
  <c r="F38" i="11"/>
  <c r="D41" i="11"/>
  <c r="D40" i="11"/>
  <c r="D39" i="11"/>
  <c r="D38" i="11"/>
  <c r="C41" i="11"/>
  <c r="C40" i="11"/>
  <c r="C39" i="11"/>
  <c r="C38" i="11"/>
  <c r="C33" i="11"/>
  <c r="A33" i="11"/>
  <c r="C32" i="11"/>
  <c r="A32" i="11"/>
  <c r="C31" i="11"/>
  <c r="A31" i="11"/>
  <c r="C30" i="11"/>
  <c r="A30" i="11"/>
  <c r="C29" i="11"/>
  <c r="A29" i="11"/>
  <c r="C28" i="11"/>
  <c r="A28" i="11"/>
  <c r="C27" i="11"/>
  <c r="A27" i="11"/>
  <c r="C26" i="11"/>
  <c r="A26" i="11"/>
  <c r="C25" i="11"/>
  <c r="A25" i="11"/>
  <c r="C24" i="11"/>
  <c r="A24" i="11"/>
  <c r="C23" i="11"/>
  <c r="A23" i="11"/>
  <c r="C22" i="11"/>
  <c r="A22" i="11"/>
  <c r="C21" i="11"/>
  <c r="A21" i="11"/>
  <c r="J20" i="11"/>
  <c r="I20" i="11"/>
  <c r="H20" i="11"/>
  <c r="G20" i="11"/>
  <c r="F20" i="11"/>
  <c r="E20" i="11"/>
  <c r="D20" i="11"/>
  <c r="C18" i="11"/>
  <c r="J17" i="11" s="1"/>
  <c r="J33" i="11" s="1"/>
  <c r="D16" i="11"/>
  <c r="D32" i="11" s="1"/>
  <c r="H14" i="11"/>
  <c r="H30" i="11" s="1"/>
  <c r="G11" i="11"/>
  <c r="G27" i="11" s="1"/>
  <c r="D10" i="11"/>
  <c r="D26" i="11" s="1"/>
  <c r="F8" i="11"/>
  <c r="F24" i="11" s="1"/>
  <c r="G5" i="11"/>
  <c r="G21" i="11" s="1"/>
  <c r="C33" i="10"/>
  <c r="A33" i="10"/>
  <c r="C32" i="10"/>
  <c r="A32" i="10"/>
  <c r="C31" i="10"/>
  <c r="A31" i="10"/>
  <c r="C30" i="10"/>
  <c r="A30" i="10"/>
  <c r="C29" i="10"/>
  <c r="A29" i="10"/>
  <c r="C28" i="10"/>
  <c r="A28" i="10"/>
  <c r="C27" i="10"/>
  <c r="A27" i="10"/>
  <c r="C26" i="10"/>
  <c r="A26" i="10"/>
  <c r="C25" i="10"/>
  <c r="A25" i="10"/>
  <c r="C24" i="10"/>
  <c r="A24" i="10"/>
  <c r="C23" i="10"/>
  <c r="A23" i="10"/>
  <c r="C22" i="10"/>
  <c r="A22" i="10"/>
  <c r="C21" i="10"/>
  <c r="A21" i="10"/>
  <c r="J20" i="10"/>
  <c r="I20" i="10"/>
  <c r="H20" i="10"/>
  <c r="G20" i="10"/>
  <c r="F20" i="10"/>
  <c r="E20" i="10"/>
  <c r="D20" i="10"/>
  <c r="C18" i="10"/>
  <c r="E11" i="10" s="1"/>
  <c r="E27" i="10" s="1"/>
  <c r="H5" i="10"/>
  <c r="H21" i="10" s="1"/>
  <c r="C32" i="9"/>
  <c r="A32" i="9"/>
  <c r="C31" i="9"/>
  <c r="A31" i="9"/>
  <c r="C30" i="9"/>
  <c r="A30" i="9"/>
  <c r="C29" i="9"/>
  <c r="A29" i="9"/>
  <c r="C28" i="9"/>
  <c r="A28" i="9"/>
  <c r="C27" i="9"/>
  <c r="A27" i="9"/>
  <c r="C26" i="9"/>
  <c r="A26" i="9"/>
  <c r="C25" i="9"/>
  <c r="A25" i="9"/>
  <c r="C24" i="9"/>
  <c r="A24" i="9"/>
  <c r="C23" i="9"/>
  <c r="A23" i="9"/>
  <c r="C22" i="9"/>
  <c r="A22" i="9"/>
  <c r="C21" i="9"/>
  <c r="A21" i="9"/>
  <c r="C20" i="9"/>
  <c r="A20" i="9"/>
  <c r="J19" i="9"/>
  <c r="I19" i="9"/>
  <c r="H19" i="9"/>
  <c r="G19" i="9"/>
  <c r="F19" i="9"/>
  <c r="E19" i="9"/>
  <c r="D19" i="9"/>
  <c r="C17" i="9"/>
  <c r="J15" i="9" s="1"/>
  <c r="J31" i="9" s="1"/>
  <c r="G33" i="12" l="1"/>
  <c r="E33" i="12"/>
  <c r="D33" i="12"/>
  <c r="F33" i="12"/>
  <c r="I33" i="12"/>
  <c r="J33" i="12"/>
  <c r="H33" i="12"/>
  <c r="J6" i="11"/>
  <c r="J22" i="11" s="1"/>
  <c r="J12" i="11"/>
  <c r="J28" i="11" s="1"/>
  <c r="D6" i="11"/>
  <c r="D22" i="11" s="1"/>
  <c r="I7" i="11"/>
  <c r="I23" i="11" s="1"/>
  <c r="E9" i="11"/>
  <c r="E25" i="11" s="1"/>
  <c r="H10" i="11"/>
  <c r="H26" i="11" s="1"/>
  <c r="F12" i="11"/>
  <c r="F28" i="11" s="1"/>
  <c r="I13" i="11"/>
  <c r="I29" i="11" s="1"/>
  <c r="E15" i="11"/>
  <c r="E31" i="11" s="1"/>
  <c r="J16" i="11"/>
  <c r="J32" i="11" s="1"/>
  <c r="H6" i="11"/>
  <c r="H22" i="11" s="1"/>
  <c r="D8" i="11"/>
  <c r="D24" i="11" s="1"/>
  <c r="G9" i="11"/>
  <c r="G25" i="11" s="1"/>
  <c r="E11" i="11"/>
  <c r="E27" i="11" s="1"/>
  <c r="H12" i="11"/>
  <c r="H28" i="11" s="1"/>
  <c r="D14" i="11"/>
  <c r="D30" i="11" s="1"/>
  <c r="I15" i="11"/>
  <c r="I31" i="11" s="1"/>
  <c r="G17" i="11"/>
  <c r="G33" i="11" s="1"/>
  <c r="I5" i="11"/>
  <c r="I21" i="11" s="1"/>
  <c r="E7" i="11"/>
  <c r="E23" i="11" s="1"/>
  <c r="J8" i="11"/>
  <c r="J24" i="11" s="1"/>
  <c r="F10" i="11"/>
  <c r="F26" i="11" s="1"/>
  <c r="I11" i="11"/>
  <c r="I27" i="11" s="1"/>
  <c r="G13" i="11"/>
  <c r="G29" i="11" s="1"/>
  <c r="J14" i="11"/>
  <c r="J30" i="11" s="1"/>
  <c r="F16" i="11"/>
  <c r="F32" i="11" s="1"/>
  <c r="E5" i="11"/>
  <c r="E21" i="11" s="1"/>
  <c r="F6" i="11"/>
  <c r="F22" i="11" s="1"/>
  <c r="G7" i="11"/>
  <c r="G23" i="11" s="1"/>
  <c r="H8" i="11"/>
  <c r="H24" i="11" s="1"/>
  <c r="I9" i="11"/>
  <c r="I25" i="11" s="1"/>
  <c r="J10" i="11"/>
  <c r="J26" i="11" s="1"/>
  <c r="D12" i="11"/>
  <c r="D28" i="11" s="1"/>
  <c r="E13" i="11"/>
  <c r="E29" i="11" s="1"/>
  <c r="F14" i="11"/>
  <c r="F30" i="11" s="1"/>
  <c r="G15" i="11"/>
  <c r="G31" i="11" s="1"/>
  <c r="H16" i="11"/>
  <c r="H32" i="11" s="1"/>
  <c r="C34" i="11"/>
  <c r="D5" i="11"/>
  <c r="D21" i="11" s="1"/>
  <c r="H5" i="11"/>
  <c r="H21" i="11" s="1"/>
  <c r="E6" i="11"/>
  <c r="E22" i="11" s="1"/>
  <c r="I6" i="11"/>
  <c r="I22" i="11" s="1"/>
  <c r="F7" i="11"/>
  <c r="F23" i="11" s="1"/>
  <c r="J7" i="11"/>
  <c r="J23" i="11" s="1"/>
  <c r="G8" i="11"/>
  <c r="G24" i="11" s="1"/>
  <c r="D9" i="11"/>
  <c r="D25" i="11" s="1"/>
  <c r="H9" i="11"/>
  <c r="H25" i="11" s="1"/>
  <c r="E10" i="11"/>
  <c r="E26" i="11" s="1"/>
  <c r="I10" i="11"/>
  <c r="I26" i="11" s="1"/>
  <c r="F11" i="11"/>
  <c r="F27" i="11" s="1"/>
  <c r="J11" i="11"/>
  <c r="J27" i="11" s="1"/>
  <c r="G12" i="11"/>
  <c r="G28" i="11" s="1"/>
  <c r="D13" i="11"/>
  <c r="D29" i="11" s="1"/>
  <c r="H13" i="11"/>
  <c r="H29" i="11" s="1"/>
  <c r="E14" i="11"/>
  <c r="E30" i="11" s="1"/>
  <c r="I14" i="11"/>
  <c r="I30" i="11" s="1"/>
  <c r="F15" i="11"/>
  <c r="F31" i="11" s="1"/>
  <c r="J15" i="11"/>
  <c r="J31" i="11" s="1"/>
  <c r="G16" i="11"/>
  <c r="G32" i="11" s="1"/>
  <c r="D17" i="11"/>
  <c r="D33" i="11" s="1"/>
  <c r="H17" i="11"/>
  <c r="H33" i="11" s="1"/>
  <c r="E17" i="11"/>
  <c r="E33" i="11" s="1"/>
  <c r="I17" i="11"/>
  <c r="I33" i="11" s="1"/>
  <c r="F5" i="11"/>
  <c r="F21" i="11" s="1"/>
  <c r="J5" i="11"/>
  <c r="J21" i="11" s="1"/>
  <c r="G6" i="11"/>
  <c r="G22" i="11" s="1"/>
  <c r="D7" i="11"/>
  <c r="D23" i="11" s="1"/>
  <c r="H7" i="11"/>
  <c r="H23" i="11" s="1"/>
  <c r="E8" i="11"/>
  <c r="E24" i="11" s="1"/>
  <c r="I8" i="11"/>
  <c r="I24" i="11" s="1"/>
  <c r="F9" i="11"/>
  <c r="F25" i="11" s="1"/>
  <c r="J9" i="11"/>
  <c r="J25" i="11" s="1"/>
  <c r="G10" i="11"/>
  <c r="G26" i="11" s="1"/>
  <c r="D11" i="11"/>
  <c r="D27" i="11" s="1"/>
  <c r="H11" i="11"/>
  <c r="H27" i="11" s="1"/>
  <c r="E12" i="11"/>
  <c r="E28" i="11" s="1"/>
  <c r="I12" i="11"/>
  <c r="I28" i="11" s="1"/>
  <c r="F13" i="11"/>
  <c r="F29" i="11" s="1"/>
  <c r="J13" i="11"/>
  <c r="J29" i="11" s="1"/>
  <c r="G14" i="11"/>
  <c r="G30" i="11" s="1"/>
  <c r="D15" i="11"/>
  <c r="D31" i="11" s="1"/>
  <c r="H15" i="11"/>
  <c r="H31" i="11" s="1"/>
  <c r="E16" i="11"/>
  <c r="E32" i="11" s="1"/>
  <c r="I16" i="11"/>
  <c r="I32" i="11" s="1"/>
  <c r="F17" i="11"/>
  <c r="F33" i="11" s="1"/>
  <c r="G9" i="10"/>
  <c r="G25" i="10" s="1"/>
  <c r="E7" i="10"/>
  <c r="E23" i="10" s="1"/>
  <c r="F12" i="10"/>
  <c r="F28" i="10" s="1"/>
  <c r="I8" i="10"/>
  <c r="I24" i="10" s="1"/>
  <c r="G13" i="10"/>
  <c r="G29" i="10" s="1"/>
  <c r="G6" i="10"/>
  <c r="G22" i="10" s="1"/>
  <c r="E10" i="10"/>
  <c r="E26" i="10" s="1"/>
  <c r="J7" i="10"/>
  <c r="J23" i="10" s="1"/>
  <c r="I17" i="10"/>
  <c r="I33" i="10" s="1"/>
  <c r="E17" i="10"/>
  <c r="E33" i="10" s="1"/>
  <c r="H16" i="10"/>
  <c r="H32" i="10" s="1"/>
  <c r="D16" i="10"/>
  <c r="D32" i="10" s="1"/>
  <c r="G15" i="10"/>
  <c r="G31" i="10" s="1"/>
  <c r="J14" i="10"/>
  <c r="J30" i="10" s="1"/>
  <c r="F14" i="10"/>
  <c r="F30" i="10" s="1"/>
  <c r="I13" i="10"/>
  <c r="I29" i="10" s="1"/>
  <c r="E13" i="10"/>
  <c r="E29" i="10" s="1"/>
  <c r="H12" i="10"/>
  <c r="H28" i="10" s="1"/>
  <c r="D12" i="10"/>
  <c r="D28" i="10" s="1"/>
  <c r="G11" i="10"/>
  <c r="G27" i="10" s="1"/>
  <c r="J10" i="10"/>
  <c r="J26" i="10" s="1"/>
  <c r="F10" i="10"/>
  <c r="F26" i="10" s="1"/>
  <c r="I9" i="10"/>
  <c r="I25" i="10" s="1"/>
  <c r="E9" i="10"/>
  <c r="E25" i="10" s="1"/>
  <c r="H8" i="10"/>
  <c r="H24" i="10" s="1"/>
  <c r="D8" i="10"/>
  <c r="D24" i="10" s="1"/>
  <c r="G7" i="10"/>
  <c r="G23" i="10" s="1"/>
  <c r="J6" i="10"/>
  <c r="J22" i="10" s="1"/>
  <c r="F6" i="10"/>
  <c r="F22" i="10" s="1"/>
  <c r="I5" i="10"/>
  <c r="I21" i="10" s="1"/>
  <c r="E5" i="10"/>
  <c r="E21" i="10" s="1"/>
  <c r="H17" i="10"/>
  <c r="H33" i="10" s="1"/>
  <c r="D17" i="10"/>
  <c r="D33" i="10" s="1"/>
  <c r="G16" i="10"/>
  <c r="G32" i="10" s="1"/>
  <c r="J15" i="10"/>
  <c r="J31" i="10" s="1"/>
  <c r="F15" i="10"/>
  <c r="F31" i="10" s="1"/>
  <c r="I14" i="10"/>
  <c r="I30" i="10" s="1"/>
  <c r="E14" i="10"/>
  <c r="E30" i="10" s="1"/>
  <c r="H13" i="10"/>
  <c r="H29" i="10" s="1"/>
  <c r="D13" i="10"/>
  <c r="D29" i="10" s="1"/>
  <c r="G12" i="10"/>
  <c r="G28" i="10" s="1"/>
  <c r="J11" i="10"/>
  <c r="J27" i="10" s="1"/>
  <c r="F11" i="10"/>
  <c r="F27" i="10" s="1"/>
  <c r="I10" i="10"/>
  <c r="I26" i="10" s="1"/>
  <c r="J5" i="10"/>
  <c r="J21" i="10" s="1"/>
  <c r="F7" i="10"/>
  <c r="F23" i="10" s="1"/>
  <c r="J8" i="10"/>
  <c r="J24" i="10" s="1"/>
  <c r="G10" i="10"/>
  <c r="G26" i="10" s="1"/>
  <c r="I12" i="10"/>
  <c r="I28" i="10" s="1"/>
  <c r="D15" i="10"/>
  <c r="D31" i="10" s="1"/>
  <c r="E16" i="10"/>
  <c r="E32" i="10" s="1"/>
  <c r="F17" i="10"/>
  <c r="F33" i="10" s="1"/>
  <c r="F5" i="10"/>
  <c r="F21" i="10" s="1"/>
  <c r="D6" i="10"/>
  <c r="D22" i="10" s="1"/>
  <c r="I6" i="10"/>
  <c r="I22" i="10" s="1"/>
  <c r="H7" i="10"/>
  <c r="H23" i="10" s="1"/>
  <c r="F8" i="10"/>
  <c r="F24" i="10" s="1"/>
  <c r="D9" i="10"/>
  <c r="D25" i="10" s="1"/>
  <c r="J9" i="10"/>
  <c r="J25" i="10" s="1"/>
  <c r="H10" i="10"/>
  <c r="H26" i="10" s="1"/>
  <c r="I11" i="10"/>
  <c r="I27" i="10" s="1"/>
  <c r="J12" i="10"/>
  <c r="J28" i="10" s="1"/>
  <c r="D14" i="10"/>
  <c r="D30" i="10" s="1"/>
  <c r="E15" i="10"/>
  <c r="E31" i="10" s="1"/>
  <c r="F16" i="10"/>
  <c r="F32" i="10" s="1"/>
  <c r="G17" i="10"/>
  <c r="G33" i="10" s="1"/>
  <c r="H14" i="10"/>
  <c r="H30" i="10" s="1"/>
  <c r="I15" i="10"/>
  <c r="I31" i="10" s="1"/>
  <c r="J16" i="10"/>
  <c r="J32" i="10" s="1"/>
  <c r="D5" i="10"/>
  <c r="D21" i="10" s="1"/>
  <c r="H6" i="10"/>
  <c r="H22" i="10" s="1"/>
  <c r="E8" i="10"/>
  <c r="E24" i="10" s="1"/>
  <c r="H9" i="10"/>
  <c r="H25" i="10" s="1"/>
  <c r="H11" i="10"/>
  <c r="H27" i="10" s="1"/>
  <c r="J13" i="10"/>
  <c r="J29" i="10" s="1"/>
  <c r="C34" i="10"/>
  <c r="G5" i="10"/>
  <c r="G21" i="10" s="1"/>
  <c r="E6" i="10"/>
  <c r="E22" i="10" s="1"/>
  <c r="D7" i="10"/>
  <c r="D23" i="10" s="1"/>
  <c r="I7" i="10"/>
  <c r="I23" i="10" s="1"/>
  <c r="G8" i="10"/>
  <c r="G24" i="10" s="1"/>
  <c r="F9" i="10"/>
  <c r="F25" i="10" s="1"/>
  <c r="D10" i="10"/>
  <c r="D26" i="10" s="1"/>
  <c r="D11" i="10"/>
  <c r="D27" i="10" s="1"/>
  <c r="E12" i="10"/>
  <c r="E28" i="10" s="1"/>
  <c r="F13" i="10"/>
  <c r="F29" i="10" s="1"/>
  <c r="G14" i="10"/>
  <c r="G30" i="10" s="1"/>
  <c r="H15" i="10"/>
  <c r="H31" i="10" s="1"/>
  <c r="I16" i="10"/>
  <c r="I32" i="10" s="1"/>
  <c r="J17" i="10"/>
  <c r="J33" i="10" s="1"/>
  <c r="E9" i="9"/>
  <c r="E25" i="9" s="1"/>
  <c r="H6" i="9"/>
  <c r="H22" i="9" s="1"/>
  <c r="G13" i="9"/>
  <c r="G29" i="9" s="1"/>
  <c r="D8" i="9"/>
  <c r="D24" i="9" s="1"/>
  <c r="F15" i="9"/>
  <c r="F31" i="9" s="1"/>
  <c r="E5" i="9"/>
  <c r="E21" i="9" s="1"/>
  <c r="E11" i="9"/>
  <c r="E27" i="9" s="1"/>
  <c r="G4" i="9"/>
  <c r="G20" i="9" s="1"/>
  <c r="D6" i="9"/>
  <c r="D22" i="9" s="1"/>
  <c r="F7" i="9"/>
  <c r="F23" i="9" s="1"/>
  <c r="G8" i="9"/>
  <c r="G24" i="9" s="1"/>
  <c r="E10" i="9"/>
  <c r="E26" i="9" s="1"/>
  <c r="F12" i="9"/>
  <c r="F28" i="9" s="1"/>
  <c r="E14" i="9"/>
  <c r="E30" i="9" s="1"/>
  <c r="G16" i="9"/>
  <c r="G32" i="9" s="1"/>
  <c r="D5" i="9"/>
  <c r="D21" i="9" s="1"/>
  <c r="E6" i="9"/>
  <c r="E22" i="9" s="1"/>
  <c r="G7" i="9"/>
  <c r="G23" i="9" s="1"/>
  <c r="D9" i="9"/>
  <c r="D25" i="9" s="1"/>
  <c r="I10" i="9"/>
  <c r="I26" i="9" s="1"/>
  <c r="G12" i="9"/>
  <c r="G28" i="9" s="1"/>
  <c r="I14" i="9"/>
  <c r="I30" i="9" s="1"/>
  <c r="J16" i="9"/>
  <c r="J32" i="9" s="1"/>
  <c r="F4" i="9"/>
  <c r="F20" i="9" s="1"/>
  <c r="G5" i="9"/>
  <c r="G21" i="9" s="1"/>
  <c r="J6" i="9"/>
  <c r="J22" i="9" s="1"/>
  <c r="F8" i="9"/>
  <c r="F24" i="9" s="1"/>
  <c r="H9" i="9"/>
  <c r="H25" i="9" s="1"/>
  <c r="J11" i="9"/>
  <c r="J27" i="9" s="1"/>
  <c r="H13" i="9"/>
  <c r="H29" i="9" s="1"/>
  <c r="I15" i="9"/>
  <c r="I31" i="9" s="1"/>
  <c r="H4" i="9"/>
  <c r="H20" i="9" s="1"/>
  <c r="I5" i="9"/>
  <c r="I21" i="9" s="1"/>
  <c r="I6" i="9"/>
  <c r="I22" i="9" s="1"/>
  <c r="I7" i="9"/>
  <c r="I23" i="9" s="1"/>
  <c r="J8" i="9"/>
  <c r="J24" i="9" s="1"/>
  <c r="D10" i="9"/>
  <c r="D26" i="9" s="1"/>
  <c r="F11" i="9"/>
  <c r="F27" i="9" s="1"/>
  <c r="D13" i="9"/>
  <c r="D29" i="9" s="1"/>
  <c r="H14" i="9"/>
  <c r="H30" i="9" s="1"/>
  <c r="I16" i="9"/>
  <c r="I32" i="9" s="1"/>
  <c r="E16" i="9"/>
  <c r="E32" i="9" s="1"/>
  <c r="H15" i="9"/>
  <c r="H31" i="9" s="1"/>
  <c r="D15" i="9"/>
  <c r="D31" i="9" s="1"/>
  <c r="G14" i="9"/>
  <c r="G30" i="9" s="1"/>
  <c r="J13" i="9"/>
  <c r="J29" i="9" s="1"/>
  <c r="F13" i="9"/>
  <c r="F29" i="9" s="1"/>
  <c r="I12" i="9"/>
  <c r="I28" i="9" s="1"/>
  <c r="E12" i="9"/>
  <c r="E28" i="9" s="1"/>
  <c r="H11" i="9"/>
  <c r="H27" i="9" s="1"/>
  <c r="D11" i="9"/>
  <c r="D27" i="9" s="1"/>
  <c r="G10" i="9"/>
  <c r="G26" i="9" s="1"/>
  <c r="J9" i="9"/>
  <c r="J25" i="9" s="1"/>
  <c r="F9" i="9"/>
  <c r="F25" i="9" s="1"/>
  <c r="I8" i="9"/>
  <c r="I24" i="9" s="1"/>
  <c r="E8" i="9"/>
  <c r="E24" i="9" s="1"/>
  <c r="H7" i="9"/>
  <c r="H23" i="9" s="1"/>
  <c r="D7" i="9"/>
  <c r="D23" i="9" s="1"/>
  <c r="G6" i="9"/>
  <c r="G22" i="9" s="1"/>
  <c r="J5" i="9"/>
  <c r="J21" i="9" s="1"/>
  <c r="F5" i="9"/>
  <c r="F21" i="9" s="1"/>
  <c r="I4" i="9"/>
  <c r="I20" i="9" s="1"/>
  <c r="E4" i="9"/>
  <c r="E20" i="9" s="1"/>
  <c r="H16" i="9"/>
  <c r="H32" i="9" s="1"/>
  <c r="D16" i="9"/>
  <c r="D32" i="9" s="1"/>
  <c r="G15" i="9"/>
  <c r="G31" i="9" s="1"/>
  <c r="J14" i="9"/>
  <c r="J30" i="9" s="1"/>
  <c r="F14" i="9"/>
  <c r="F30" i="9" s="1"/>
  <c r="I13" i="9"/>
  <c r="I29" i="9" s="1"/>
  <c r="E13" i="9"/>
  <c r="E29" i="9" s="1"/>
  <c r="H12" i="9"/>
  <c r="H28" i="9" s="1"/>
  <c r="D12" i="9"/>
  <c r="D28" i="9" s="1"/>
  <c r="G11" i="9"/>
  <c r="G27" i="9" s="1"/>
  <c r="J10" i="9"/>
  <c r="J26" i="9" s="1"/>
  <c r="F10" i="9"/>
  <c r="F26" i="9" s="1"/>
  <c r="I9" i="9"/>
  <c r="I25" i="9" s="1"/>
  <c r="D4" i="9"/>
  <c r="D20" i="9" s="1"/>
  <c r="J4" i="9"/>
  <c r="J20" i="9" s="1"/>
  <c r="H5" i="9"/>
  <c r="H21" i="9" s="1"/>
  <c r="F6" i="9"/>
  <c r="F22" i="9" s="1"/>
  <c r="E7" i="9"/>
  <c r="E23" i="9" s="1"/>
  <c r="J7" i="9"/>
  <c r="J23" i="9" s="1"/>
  <c r="H8" i="9"/>
  <c r="H24" i="9" s="1"/>
  <c r="G9" i="9"/>
  <c r="G25" i="9" s="1"/>
  <c r="H10" i="9"/>
  <c r="H26" i="9" s="1"/>
  <c r="I11" i="9"/>
  <c r="I27" i="9" s="1"/>
  <c r="J12" i="9"/>
  <c r="J28" i="9" s="1"/>
  <c r="D14" i="9"/>
  <c r="D30" i="9" s="1"/>
  <c r="E15" i="9"/>
  <c r="E31" i="9" s="1"/>
  <c r="F16" i="9"/>
  <c r="F32" i="9" s="1"/>
  <c r="C33" i="9"/>
  <c r="C32" i="8"/>
  <c r="A32" i="8"/>
  <c r="C31" i="8"/>
  <c r="A31" i="8"/>
  <c r="C30" i="8"/>
  <c r="A30" i="8"/>
  <c r="C29" i="8"/>
  <c r="A29" i="8"/>
  <c r="C28" i="8"/>
  <c r="A28" i="8"/>
  <c r="C27" i="8"/>
  <c r="A27" i="8"/>
  <c r="C26" i="8"/>
  <c r="A26" i="8"/>
  <c r="C25" i="8"/>
  <c r="A25" i="8"/>
  <c r="C24" i="8"/>
  <c r="A24" i="8"/>
  <c r="C23" i="8"/>
  <c r="A23" i="8"/>
  <c r="C22" i="8"/>
  <c r="A22" i="8"/>
  <c r="C21" i="8"/>
  <c r="A21" i="8"/>
  <c r="C20" i="8"/>
  <c r="A20" i="8"/>
  <c r="J19" i="8"/>
  <c r="I19" i="8"/>
  <c r="H19" i="8"/>
  <c r="G19" i="8"/>
  <c r="F19" i="8"/>
  <c r="E19" i="8"/>
  <c r="D19" i="8"/>
  <c r="C17" i="8"/>
  <c r="H16" i="8" s="1"/>
  <c r="H32" i="8" s="1"/>
  <c r="G15" i="8"/>
  <c r="G31" i="8" s="1"/>
  <c r="E14" i="8"/>
  <c r="E30" i="8" s="1"/>
  <c r="H8" i="8"/>
  <c r="H24" i="8" s="1"/>
  <c r="I6" i="8"/>
  <c r="I22" i="8" s="1"/>
  <c r="H4" i="8"/>
  <c r="H20" i="8" s="1"/>
  <c r="G34" i="11" l="1"/>
  <c r="I34" i="11"/>
  <c r="E34" i="11"/>
  <c r="D34" i="11"/>
  <c r="J34" i="11"/>
  <c r="F34" i="11"/>
  <c r="H34" i="11"/>
  <c r="H34" i="10"/>
  <c r="E34" i="10"/>
  <c r="D34" i="10"/>
  <c r="I34" i="10"/>
  <c r="G34" i="10"/>
  <c r="F34" i="10"/>
  <c r="J34" i="10"/>
  <c r="F33" i="9"/>
  <c r="H33" i="9"/>
  <c r="G33" i="9"/>
  <c r="D33" i="9"/>
  <c r="E33" i="9"/>
  <c r="J33" i="9"/>
  <c r="I33" i="9"/>
  <c r="I9" i="8"/>
  <c r="I25" i="8" s="1"/>
  <c r="H5" i="8"/>
  <c r="H21" i="8" s="1"/>
  <c r="J10" i="8"/>
  <c r="J26" i="8" s="1"/>
  <c r="H7" i="8"/>
  <c r="H23" i="8" s="1"/>
  <c r="G12" i="8"/>
  <c r="G28" i="8" s="1"/>
  <c r="I4" i="8"/>
  <c r="I20" i="8" s="1"/>
  <c r="J5" i="8"/>
  <c r="J21" i="8" s="1"/>
  <c r="J6" i="8"/>
  <c r="J22" i="8" s="1"/>
  <c r="J7" i="8"/>
  <c r="J23" i="8" s="1"/>
  <c r="D9" i="8"/>
  <c r="D25" i="8" s="1"/>
  <c r="J9" i="8"/>
  <c r="J25" i="8" s="1"/>
  <c r="F11" i="8"/>
  <c r="F27" i="8" s="1"/>
  <c r="D13" i="8"/>
  <c r="D29" i="8" s="1"/>
  <c r="F14" i="8"/>
  <c r="F30" i="8" s="1"/>
  <c r="J15" i="8"/>
  <c r="J31" i="8" s="1"/>
  <c r="D4" i="8"/>
  <c r="D20" i="8" s="1"/>
  <c r="E5" i="8"/>
  <c r="E21" i="8" s="1"/>
  <c r="E6" i="8"/>
  <c r="E22" i="8" s="1"/>
  <c r="D7" i="8"/>
  <c r="D23" i="8" s="1"/>
  <c r="E8" i="8"/>
  <c r="E24" i="8" s="1"/>
  <c r="E9" i="8"/>
  <c r="E25" i="8" s="1"/>
  <c r="E10" i="8"/>
  <c r="E26" i="8" s="1"/>
  <c r="J11" i="8"/>
  <c r="J27" i="8" s="1"/>
  <c r="E13" i="8"/>
  <c r="E29" i="8" s="1"/>
  <c r="I14" i="8"/>
  <c r="I30" i="8" s="1"/>
  <c r="G16" i="8"/>
  <c r="G32" i="8" s="1"/>
  <c r="G4" i="8"/>
  <c r="G20" i="8" s="1"/>
  <c r="F5" i="8"/>
  <c r="F21" i="8" s="1"/>
  <c r="F6" i="8"/>
  <c r="F22" i="8" s="1"/>
  <c r="G7" i="8"/>
  <c r="G23" i="8" s="1"/>
  <c r="G8" i="8"/>
  <c r="G24" i="8" s="1"/>
  <c r="F9" i="8"/>
  <c r="F25" i="8" s="1"/>
  <c r="I10" i="8"/>
  <c r="I26" i="8" s="1"/>
  <c r="D12" i="8"/>
  <c r="D28" i="8" s="1"/>
  <c r="H13" i="8"/>
  <c r="H29" i="8" s="1"/>
  <c r="F15" i="8"/>
  <c r="F31" i="8" s="1"/>
  <c r="C33" i="8"/>
  <c r="J16" i="8"/>
  <c r="J32" i="8" s="1"/>
  <c r="F16" i="8"/>
  <c r="F32" i="8" s="1"/>
  <c r="I15" i="8"/>
  <c r="I31" i="8" s="1"/>
  <c r="E15" i="8"/>
  <c r="E31" i="8" s="1"/>
  <c r="H14" i="8"/>
  <c r="H30" i="8" s="1"/>
  <c r="D14" i="8"/>
  <c r="D30" i="8" s="1"/>
  <c r="G13" i="8"/>
  <c r="G29" i="8" s="1"/>
  <c r="J12" i="8"/>
  <c r="J28" i="8" s="1"/>
  <c r="F12" i="8"/>
  <c r="F28" i="8" s="1"/>
  <c r="I11" i="8"/>
  <c r="I27" i="8" s="1"/>
  <c r="E11" i="8"/>
  <c r="E27" i="8" s="1"/>
  <c r="H10" i="8"/>
  <c r="H26" i="8" s="1"/>
  <c r="D10" i="8"/>
  <c r="D26" i="8" s="1"/>
  <c r="G9" i="8"/>
  <c r="G25" i="8" s="1"/>
  <c r="J8" i="8"/>
  <c r="J24" i="8" s="1"/>
  <c r="F8" i="8"/>
  <c r="F24" i="8" s="1"/>
  <c r="I7" i="8"/>
  <c r="I23" i="8" s="1"/>
  <c r="E7" i="8"/>
  <c r="E23" i="8" s="1"/>
  <c r="H6" i="8"/>
  <c r="H22" i="8" s="1"/>
  <c r="D6" i="8"/>
  <c r="D22" i="8" s="1"/>
  <c r="G5" i="8"/>
  <c r="G21" i="8" s="1"/>
  <c r="J4" i="8"/>
  <c r="J20" i="8" s="1"/>
  <c r="F4" i="8"/>
  <c r="F20" i="8" s="1"/>
  <c r="I16" i="8"/>
  <c r="I32" i="8" s="1"/>
  <c r="E16" i="8"/>
  <c r="E32" i="8" s="1"/>
  <c r="H15" i="8"/>
  <c r="H31" i="8" s="1"/>
  <c r="D15" i="8"/>
  <c r="D31" i="8" s="1"/>
  <c r="G14" i="8"/>
  <c r="G30" i="8" s="1"/>
  <c r="J13" i="8"/>
  <c r="J29" i="8" s="1"/>
  <c r="F13" i="8"/>
  <c r="F29" i="8" s="1"/>
  <c r="I12" i="8"/>
  <c r="I28" i="8" s="1"/>
  <c r="E12" i="8"/>
  <c r="E28" i="8" s="1"/>
  <c r="H11" i="8"/>
  <c r="H27" i="8" s="1"/>
  <c r="D11" i="8"/>
  <c r="D27" i="8" s="1"/>
  <c r="G10" i="8"/>
  <c r="G26" i="8" s="1"/>
  <c r="E4" i="8"/>
  <c r="E20" i="8" s="1"/>
  <c r="D5" i="8"/>
  <c r="D21" i="8" s="1"/>
  <c r="I5" i="8"/>
  <c r="I21" i="8" s="1"/>
  <c r="G6" i="8"/>
  <c r="G22" i="8" s="1"/>
  <c r="F7" i="8"/>
  <c r="F23" i="8" s="1"/>
  <c r="D8" i="8"/>
  <c r="D24" i="8" s="1"/>
  <c r="I8" i="8"/>
  <c r="I24" i="8" s="1"/>
  <c r="H9" i="8"/>
  <c r="H25" i="8" s="1"/>
  <c r="F10" i="8"/>
  <c r="F26" i="8" s="1"/>
  <c r="G11" i="8"/>
  <c r="G27" i="8" s="1"/>
  <c r="H12" i="8"/>
  <c r="H28" i="8" s="1"/>
  <c r="I13" i="8"/>
  <c r="I29" i="8" s="1"/>
  <c r="J14" i="8"/>
  <c r="J30" i="8" s="1"/>
  <c r="D16" i="8"/>
  <c r="D32" i="8" s="1"/>
  <c r="C33" i="7"/>
  <c r="C21" i="7"/>
  <c r="C22" i="7"/>
  <c r="C23" i="7"/>
  <c r="C24" i="7"/>
  <c r="C25" i="7"/>
  <c r="C26" i="7"/>
  <c r="C27" i="7"/>
  <c r="C28" i="7"/>
  <c r="C29" i="7"/>
  <c r="C30" i="7"/>
  <c r="C31" i="7"/>
  <c r="C32" i="7"/>
  <c r="C20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J19" i="7"/>
  <c r="I19" i="7"/>
  <c r="H19" i="7"/>
  <c r="G19" i="7"/>
  <c r="F19" i="7"/>
  <c r="E19" i="7"/>
  <c r="D19" i="7"/>
  <c r="C17" i="7"/>
  <c r="J15" i="7" s="1"/>
  <c r="J31" i="7" s="1"/>
  <c r="F8" i="7"/>
  <c r="F24" i="7" s="1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J19" i="6"/>
  <c r="I19" i="6"/>
  <c r="H19" i="6"/>
  <c r="G19" i="6"/>
  <c r="F19" i="6"/>
  <c r="E19" i="6"/>
  <c r="D19" i="6"/>
  <c r="C17" i="6"/>
  <c r="J15" i="6" s="1"/>
  <c r="J31" i="6" s="1"/>
  <c r="J16" i="6"/>
  <c r="J32" i="6" s="1"/>
  <c r="I14" i="6"/>
  <c r="I30" i="6" s="1"/>
  <c r="H14" i="6"/>
  <c r="H30" i="6" s="1"/>
  <c r="H13" i="6"/>
  <c r="H29" i="6" s="1"/>
  <c r="J12" i="6"/>
  <c r="J28" i="6" s="1"/>
  <c r="H12" i="6"/>
  <c r="H28" i="6" s="1"/>
  <c r="D12" i="6"/>
  <c r="D28" i="6" s="1"/>
  <c r="F11" i="6"/>
  <c r="F27" i="6" s="1"/>
  <c r="E11" i="6"/>
  <c r="E27" i="6" s="1"/>
  <c r="H10" i="6"/>
  <c r="H26" i="6" s="1"/>
  <c r="I9" i="6"/>
  <c r="I25" i="6" s="1"/>
  <c r="H9" i="6"/>
  <c r="H25" i="6" s="1"/>
  <c r="D9" i="6"/>
  <c r="D25" i="6" s="1"/>
  <c r="F8" i="6"/>
  <c r="F24" i="6" s="1"/>
  <c r="D8" i="6"/>
  <c r="D24" i="6" s="1"/>
  <c r="G7" i="6"/>
  <c r="G23" i="6" s="1"/>
  <c r="I6" i="6"/>
  <c r="I22" i="6" s="1"/>
  <c r="H6" i="6"/>
  <c r="H22" i="6" s="1"/>
  <c r="D6" i="6"/>
  <c r="D22" i="6" s="1"/>
  <c r="I5" i="6"/>
  <c r="I21" i="6" s="1"/>
  <c r="E5" i="6"/>
  <c r="E21" i="6" s="1"/>
  <c r="D5" i="6"/>
  <c r="D21" i="6" s="1"/>
  <c r="G4" i="6"/>
  <c r="G20" i="6" s="1"/>
  <c r="F4" i="6"/>
  <c r="F20" i="6" s="1"/>
  <c r="I33" i="8" l="1"/>
  <c r="H33" i="8"/>
  <c r="G33" i="8"/>
  <c r="D33" i="8"/>
  <c r="E33" i="8"/>
  <c r="F33" i="8"/>
  <c r="J33" i="8"/>
  <c r="E5" i="7"/>
  <c r="E21" i="7" s="1"/>
  <c r="I6" i="7"/>
  <c r="I22" i="7" s="1"/>
  <c r="I9" i="7"/>
  <c r="I25" i="7" s="1"/>
  <c r="F11" i="7"/>
  <c r="F27" i="7" s="1"/>
  <c r="J12" i="7"/>
  <c r="J28" i="7" s="1"/>
  <c r="I14" i="7"/>
  <c r="I30" i="7" s="1"/>
  <c r="D5" i="7"/>
  <c r="D21" i="7" s="1"/>
  <c r="H6" i="7"/>
  <c r="H22" i="7" s="1"/>
  <c r="D8" i="7"/>
  <c r="D24" i="7" s="1"/>
  <c r="H9" i="7"/>
  <c r="H25" i="7" s="1"/>
  <c r="E11" i="7"/>
  <c r="E27" i="7" s="1"/>
  <c r="H12" i="7"/>
  <c r="H28" i="7" s="1"/>
  <c r="H14" i="7"/>
  <c r="H30" i="7" s="1"/>
  <c r="J16" i="7"/>
  <c r="J32" i="7" s="1"/>
  <c r="F4" i="7"/>
  <c r="F20" i="7" s="1"/>
  <c r="I5" i="7"/>
  <c r="I21" i="7" s="1"/>
  <c r="F7" i="7"/>
  <c r="F23" i="7" s="1"/>
  <c r="J8" i="7"/>
  <c r="J24" i="7" s="1"/>
  <c r="F10" i="7"/>
  <c r="F26" i="7" s="1"/>
  <c r="J11" i="7"/>
  <c r="J27" i="7" s="1"/>
  <c r="G13" i="7"/>
  <c r="G29" i="7" s="1"/>
  <c r="I15" i="7"/>
  <c r="I31" i="7" s="1"/>
  <c r="G4" i="7"/>
  <c r="G20" i="7" s="1"/>
  <c r="D6" i="7"/>
  <c r="D22" i="7" s="1"/>
  <c r="G7" i="7"/>
  <c r="G23" i="7" s="1"/>
  <c r="D9" i="7"/>
  <c r="D25" i="7" s="1"/>
  <c r="H10" i="7"/>
  <c r="H26" i="7" s="1"/>
  <c r="D12" i="7"/>
  <c r="D28" i="7" s="1"/>
  <c r="H13" i="7"/>
  <c r="H29" i="7" s="1"/>
  <c r="I16" i="7"/>
  <c r="I32" i="7" s="1"/>
  <c r="E16" i="7"/>
  <c r="E32" i="7" s="1"/>
  <c r="H15" i="7"/>
  <c r="H31" i="7" s="1"/>
  <c r="D15" i="7"/>
  <c r="D31" i="7" s="1"/>
  <c r="G14" i="7"/>
  <c r="G30" i="7" s="1"/>
  <c r="J13" i="7"/>
  <c r="J29" i="7" s="1"/>
  <c r="F13" i="7"/>
  <c r="F29" i="7" s="1"/>
  <c r="I12" i="7"/>
  <c r="I28" i="7" s="1"/>
  <c r="E12" i="7"/>
  <c r="E28" i="7" s="1"/>
  <c r="H11" i="7"/>
  <c r="H27" i="7" s="1"/>
  <c r="D11" i="7"/>
  <c r="D27" i="7" s="1"/>
  <c r="G10" i="7"/>
  <c r="G26" i="7" s="1"/>
  <c r="J9" i="7"/>
  <c r="J25" i="7" s="1"/>
  <c r="F9" i="7"/>
  <c r="F25" i="7" s="1"/>
  <c r="I8" i="7"/>
  <c r="I24" i="7" s="1"/>
  <c r="E8" i="7"/>
  <c r="E24" i="7" s="1"/>
  <c r="H7" i="7"/>
  <c r="H23" i="7" s="1"/>
  <c r="D7" i="7"/>
  <c r="D23" i="7" s="1"/>
  <c r="G6" i="7"/>
  <c r="G22" i="7" s="1"/>
  <c r="J5" i="7"/>
  <c r="J21" i="7" s="1"/>
  <c r="F5" i="7"/>
  <c r="F21" i="7" s="1"/>
  <c r="I4" i="7"/>
  <c r="I20" i="7" s="1"/>
  <c r="E4" i="7"/>
  <c r="E20" i="7" s="1"/>
  <c r="H16" i="7"/>
  <c r="H32" i="7" s="1"/>
  <c r="D16" i="7"/>
  <c r="D32" i="7" s="1"/>
  <c r="G15" i="7"/>
  <c r="G31" i="7" s="1"/>
  <c r="J14" i="7"/>
  <c r="J30" i="7" s="1"/>
  <c r="F14" i="7"/>
  <c r="F30" i="7" s="1"/>
  <c r="I13" i="7"/>
  <c r="I29" i="7" s="1"/>
  <c r="H4" i="7"/>
  <c r="H20" i="7" s="1"/>
  <c r="G5" i="7"/>
  <c r="G21" i="7" s="1"/>
  <c r="E6" i="7"/>
  <c r="E22" i="7" s="1"/>
  <c r="J6" i="7"/>
  <c r="J22" i="7" s="1"/>
  <c r="I7" i="7"/>
  <c r="I23" i="7" s="1"/>
  <c r="G8" i="7"/>
  <c r="G24" i="7" s="1"/>
  <c r="E9" i="7"/>
  <c r="E25" i="7" s="1"/>
  <c r="D10" i="7"/>
  <c r="D26" i="7" s="1"/>
  <c r="I10" i="7"/>
  <c r="I26" i="7" s="1"/>
  <c r="G11" i="7"/>
  <c r="G27" i="7" s="1"/>
  <c r="F12" i="7"/>
  <c r="F28" i="7" s="1"/>
  <c r="D13" i="7"/>
  <c r="D29" i="7" s="1"/>
  <c r="D14" i="7"/>
  <c r="D30" i="7" s="1"/>
  <c r="E15" i="7"/>
  <c r="E31" i="7" s="1"/>
  <c r="F16" i="7"/>
  <c r="F32" i="7" s="1"/>
  <c r="D4" i="7"/>
  <c r="D20" i="7" s="1"/>
  <c r="J4" i="7"/>
  <c r="J20" i="7" s="1"/>
  <c r="H5" i="7"/>
  <c r="H21" i="7" s="1"/>
  <c r="F6" i="7"/>
  <c r="F22" i="7" s="1"/>
  <c r="E7" i="7"/>
  <c r="E23" i="7" s="1"/>
  <c r="J7" i="7"/>
  <c r="J23" i="7" s="1"/>
  <c r="H8" i="7"/>
  <c r="H24" i="7" s="1"/>
  <c r="G9" i="7"/>
  <c r="G25" i="7" s="1"/>
  <c r="E10" i="7"/>
  <c r="E26" i="7" s="1"/>
  <c r="J10" i="7"/>
  <c r="J26" i="7" s="1"/>
  <c r="I11" i="7"/>
  <c r="I27" i="7" s="1"/>
  <c r="G12" i="7"/>
  <c r="G28" i="7" s="1"/>
  <c r="E13" i="7"/>
  <c r="E29" i="7" s="1"/>
  <c r="E14" i="7"/>
  <c r="E30" i="7" s="1"/>
  <c r="F15" i="7"/>
  <c r="F31" i="7" s="1"/>
  <c r="G16" i="7"/>
  <c r="G32" i="7" s="1"/>
  <c r="F7" i="6"/>
  <c r="F23" i="6" s="1"/>
  <c r="J8" i="6"/>
  <c r="J24" i="6" s="1"/>
  <c r="F10" i="6"/>
  <c r="F26" i="6" s="1"/>
  <c r="J11" i="6"/>
  <c r="J27" i="6" s="1"/>
  <c r="G13" i="6"/>
  <c r="G29" i="6" s="1"/>
  <c r="I15" i="6"/>
  <c r="I31" i="6" s="1"/>
  <c r="I16" i="6"/>
  <c r="I32" i="6" s="1"/>
  <c r="E16" i="6"/>
  <c r="E32" i="6" s="1"/>
  <c r="H15" i="6"/>
  <c r="H31" i="6" s="1"/>
  <c r="D15" i="6"/>
  <c r="D31" i="6" s="1"/>
  <c r="G14" i="6"/>
  <c r="G30" i="6" s="1"/>
  <c r="J13" i="6"/>
  <c r="J29" i="6" s="1"/>
  <c r="F13" i="6"/>
  <c r="F29" i="6" s="1"/>
  <c r="I12" i="6"/>
  <c r="I28" i="6" s="1"/>
  <c r="E12" i="6"/>
  <c r="E28" i="6" s="1"/>
  <c r="H11" i="6"/>
  <c r="H27" i="6" s="1"/>
  <c r="D11" i="6"/>
  <c r="D27" i="6" s="1"/>
  <c r="G10" i="6"/>
  <c r="G26" i="6" s="1"/>
  <c r="J9" i="6"/>
  <c r="J25" i="6" s="1"/>
  <c r="F9" i="6"/>
  <c r="F25" i="6" s="1"/>
  <c r="I8" i="6"/>
  <c r="I24" i="6" s="1"/>
  <c r="E8" i="6"/>
  <c r="E24" i="6" s="1"/>
  <c r="H7" i="6"/>
  <c r="H23" i="6" s="1"/>
  <c r="D7" i="6"/>
  <c r="D23" i="6" s="1"/>
  <c r="G6" i="6"/>
  <c r="G22" i="6" s="1"/>
  <c r="J5" i="6"/>
  <c r="J21" i="6" s="1"/>
  <c r="F5" i="6"/>
  <c r="F21" i="6" s="1"/>
  <c r="I4" i="6"/>
  <c r="I20" i="6" s="1"/>
  <c r="E4" i="6"/>
  <c r="E20" i="6" s="1"/>
  <c r="H16" i="6"/>
  <c r="H32" i="6" s="1"/>
  <c r="D16" i="6"/>
  <c r="D32" i="6" s="1"/>
  <c r="G15" i="6"/>
  <c r="G31" i="6" s="1"/>
  <c r="J14" i="6"/>
  <c r="J30" i="6" s="1"/>
  <c r="F14" i="6"/>
  <c r="F30" i="6" s="1"/>
  <c r="I13" i="6"/>
  <c r="I29" i="6" s="1"/>
  <c r="H4" i="6"/>
  <c r="H20" i="6" s="1"/>
  <c r="G5" i="6"/>
  <c r="G21" i="6" s="1"/>
  <c r="E6" i="6"/>
  <c r="E22" i="6" s="1"/>
  <c r="J6" i="6"/>
  <c r="J22" i="6" s="1"/>
  <c r="I7" i="6"/>
  <c r="I23" i="6" s="1"/>
  <c r="G8" i="6"/>
  <c r="G24" i="6" s="1"/>
  <c r="E9" i="6"/>
  <c r="E25" i="6" s="1"/>
  <c r="D10" i="6"/>
  <c r="D26" i="6" s="1"/>
  <c r="I10" i="6"/>
  <c r="I26" i="6" s="1"/>
  <c r="G11" i="6"/>
  <c r="G27" i="6" s="1"/>
  <c r="F12" i="6"/>
  <c r="F28" i="6" s="1"/>
  <c r="D13" i="6"/>
  <c r="D29" i="6" s="1"/>
  <c r="D14" i="6"/>
  <c r="D30" i="6" s="1"/>
  <c r="E15" i="6"/>
  <c r="E31" i="6" s="1"/>
  <c r="F16" i="6"/>
  <c r="F32" i="6" s="1"/>
  <c r="D4" i="6"/>
  <c r="D20" i="6" s="1"/>
  <c r="J4" i="6"/>
  <c r="J20" i="6" s="1"/>
  <c r="H5" i="6"/>
  <c r="H21" i="6" s="1"/>
  <c r="F6" i="6"/>
  <c r="F22" i="6" s="1"/>
  <c r="E7" i="6"/>
  <c r="E23" i="6" s="1"/>
  <c r="J7" i="6"/>
  <c r="J23" i="6" s="1"/>
  <c r="H8" i="6"/>
  <c r="H24" i="6" s="1"/>
  <c r="G9" i="6"/>
  <c r="G25" i="6" s="1"/>
  <c r="E10" i="6"/>
  <c r="E26" i="6" s="1"/>
  <c r="J10" i="6"/>
  <c r="J26" i="6" s="1"/>
  <c r="I11" i="6"/>
  <c r="I27" i="6" s="1"/>
  <c r="G12" i="6"/>
  <c r="G28" i="6" s="1"/>
  <c r="E13" i="6"/>
  <c r="E29" i="6" s="1"/>
  <c r="E14" i="6"/>
  <c r="E30" i="6" s="1"/>
  <c r="F15" i="6"/>
  <c r="F31" i="6" s="1"/>
  <c r="G16" i="6"/>
  <c r="G32" i="6" s="1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J19" i="5"/>
  <c r="I19" i="5"/>
  <c r="H19" i="5"/>
  <c r="G19" i="5"/>
  <c r="F19" i="5"/>
  <c r="E19" i="5"/>
  <c r="D19" i="5"/>
  <c r="C17" i="5"/>
  <c r="G16" i="5" s="1"/>
  <c r="G32" i="5" s="1"/>
  <c r="H33" i="7" l="1"/>
  <c r="F33" i="7"/>
  <c r="G33" i="7"/>
  <c r="J33" i="7"/>
  <c r="I33" i="7"/>
  <c r="D33" i="7"/>
  <c r="E33" i="7"/>
  <c r="H33" i="6"/>
  <c r="G33" i="6"/>
  <c r="F33" i="6"/>
  <c r="J33" i="6"/>
  <c r="I33" i="6"/>
  <c r="D33" i="6"/>
  <c r="E33" i="6"/>
  <c r="H5" i="5"/>
  <c r="H21" i="5" s="1"/>
  <c r="J7" i="5"/>
  <c r="J23" i="5" s="1"/>
  <c r="E10" i="5"/>
  <c r="E26" i="5" s="1"/>
  <c r="G12" i="5"/>
  <c r="G28" i="5" s="1"/>
  <c r="D4" i="5"/>
  <c r="D20" i="5" s="1"/>
  <c r="F6" i="5"/>
  <c r="F22" i="5" s="1"/>
  <c r="H8" i="5"/>
  <c r="H24" i="5" s="1"/>
  <c r="J10" i="5"/>
  <c r="J26" i="5" s="1"/>
  <c r="E14" i="5"/>
  <c r="E30" i="5" s="1"/>
  <c r="G4" i="5"/>
  <c r="G20" i="5" s="1"/>
  <c r="I6" i="5"/>
  <c r="I22" i="5" s="1"/>
  <c r="D9" i="5"/>
  <c r="D25" i="5" s="1"/>
  <c r="F11" i="5"/>
  <c r="F27" i="5" s="1"/>
  <c r="I14" i="5"/>
  <c r="I30" i="5" s="1"/>
  <c r="E5" i="5"/>
  <c r="E21" i="5" s="1"/>
  <c r="G7" i="5"/>
  <c r="G23" i="5" s="1"/>
  <c r="I9" i="5"/>
  <c r="I25" i="5" s="1"/>
  <c r="D12" i="5"/>
  <c r="D28" i="5" s="1"/>
  <c r="J16" i="5"/>
  <c r="J32" i="5" s="1"/>
  <c r="F16" i="5"/>
  <c r="F32" i="5" s="1"/>
  <c r="I15" i="5"/>
  <c r="I31" i="5" s="1"/>
  <c r="E15" i="5"/>
  <c r="E31" i="5" s="1"/>
  <c r="H14" i="5"/>
  <c r="H30" i="5" s="1"/>
  <c r="D14" i="5"/>
  <c r="D30" i="5" s="1"/>
  <c r="G13" i="5"/>
  <c r="G29" i="5" s="1"/>
  <c r="J12" i="5"/>
  <c r="J28" i="5" s="1"/>
  <c r="F12" i="5"/>
  <c r="F28" i="5" s="1"/>
  <c r="I11" i="5"/>
  <c r="I27" i="5" s="1"/>
  <c r="E11" i="5"/>
  <c r="E27" i="5" s="1"/>
  <c r="H10" i="5"/>
  <c r="H26" i="5" s="1"/>
  <c r="D10" i="5"/>
  <c r="D26" i="5" s="1"/>
  <c r="G9" i="5"/>
  <c r="G25" i="5" s="1"/>
  <c r="J8" i="5"/>
  <c r="J24" i="5" s="1"/>
  <c r="F8" i="5"/>
  <c r="F24" i="5" s="1"/>
  <c r="I7" i="5"/>
  <c r="I23" i="5" s="1"/>
  <c r="E7" i="5"/>
  <c r="E23" i="5" s="1"/>
  <c r="H6" i="5"/>
  <c r="H22" i="5" s="1"/>
  <c r="D6" i="5"/>
  <c r="D22" i="5" s="1"/>
  <c r="G5" i="5"/>
  <c r="G21" i="5" s="1"/>
  <c r="J4" i="5"/>
  <c r="J20" i="5" s="1"/>
  <c r="F4" i="5"/>
  <c r="F20" i="5" s="1"/>
  <c r="I16" i="5"/>
  <c r="I32" i="5" s="1"/>
  <c r="E16" i="5"/>
  <c r="E32" i="5" s="1"/>
  <c r="H15" i="5"/>
  <c r="H31" i="5" s="1"/>
  <c r="D15" i="5"/>
  <c r="D31" i="5" s="1"/>
  <c r="G14" i="5"/>
  <c r="G30" i="5" s="1"/>
  <c r="J13" i="5"/>
  <c r="J29" i="5" s="1"/>
  <c r="F13" i="5"/>
  <c r="F29" i="5" s="1"/>
  <c r="I12" i="5"/>
  <c r="I28" i="5" s="1"/>
  <c r="E12" i="5"/>
  <c r="E28" i="5" s="1"/>
  <c r="H11" i="5"/>
  <c r="H27" i="5" s="1"/>
  <c r="D11" i="5"/>
  <c r="D27" i="5" s="1"/>
  <c r="G10" i="5"/>
  <c r="G26" i="5" s="1"/>
  <c r="J9" i="5"/>
  <c r="J25" i="5" s="1"/>
  <c r="F9" i="5"/>
  <c r="F25" i="5" s="1"/>
  <c r="I8" i="5"/>
  <c r="I24" i="5" s="1"/>
  <c r="E8" i="5"/>
  <c r="E24" i="5" s="1"/>
  <c r="H7" i="5"/>
  <c r="H23" i="5" s="1"/>
  <c r="D7" i="5"/>
  <c r="D23" i="5" s="1"/>
  <c r="G6" i="5"/>
  <c r="G22" i="5" s="1"/>
  <c r="J5" i="5"/>
  <c r="J21" i="5" s="1"/>
  <c r="F5" i="5"/>
  <c r="F21" i="5" s="1"/>
  <c r="I4" i="5"/>
  <c r="I20" i="5" s="1"/>
  <c r="E4" i="5"/>
  <c r="E20" i="5" s="1"/>
  <c r="H16" i="5"/>
  <c r="H32" i="5" s="1"/>
  <c r="D16" i="5"/>
  <c r="D32" i="5" s="1"/>
  <c r="G15" i="5"/>
  <c r="G31" i="5" s="1"/>
  <c r="J14" i="5"/>
  <c r="J30" i="5" s="1"/>
  <c r="F14" i="5"/>
  <c r="F30" i="5" s="1"/>
  <c r="I13" i="5"/>
  <c r="I29" i="5" s="1"/>
  <c r="E13" i="5"/>
  <c r="E29" i="5" s="1"/>
  <c r="H12" i="5"/>
  <c r="H28" i="5" s="1"/>
  <c r="H4" i="5"/>
  <c r="H20" i="5" s="1"/>
  <c r="I5" i="5"/>
  <c r="I21" i="5" s="1"/>
  <c r="J6" i="5"/>
  <c r="J22" i="5" s="1"/>
  <c r="D8" i="5"/>
  <c r="D24" i="5" s="1"/>
  <c r="E9" i="5"/>
  <c r="E25" i="5" s="1"/>
  <c r="F10" i="5"/>
  <c r="F26" i="5" s="1"/>
  <c r="G11" i="5"/>
  <c r="G27" i="5" s="1"/>
  <c r="D13" i="5"/>
  <c r="D29" i="5" s="1"/>
  <c r="F15" i="5"/>
  <c r="F31" i="5" s="1"/>
  <c r="D5" i="5"/>
  <c r="D21" i="5" s="1"/>
  <c r="E6" i="5"/>
  <c r="E22" i="5" s="1"/>
  <c r="F7" i="5"/>
  <c r="F23" i="5" s="1"/>
  <c r="G8" i="5"/>
  <c r="G24" i="5" s="1"/>
  <c r="H9" i="5"/>
  <c r="H25" i="5" s="1"/>
  <c r="I10" i="5"/>
  <c r="I26" i="5" s="1"/>
  <c r="J11" i="5"/>
  <c r="J27" i="5" s="1"/>
  <c r="H13" i="5"/>
  <c r="H29" i="5" s="1"/>
  <c r="J15" i="5"/>
  <c r="J31" i="5" s="1"/>
  <c r="E39" i="4"/>
  <c r="F39" i="4"/>
  <c r="G39" i="4"/>
  <c r="H39" i="4"/>
  <c r="I39" i="4"/>
  <c r="J39" i="4"/>
  <c r="D39" i="4"/>
  <c r="E37" i="4"/>
  <c r="F37" i="4"/>
  <c r="G37" i="4"/>
  <c r="H37" i="4"/>
  <c r="I37" i="4"/>
  <c r="J37" i="4"/>
  <c r="D37" i="4"/>
  <c r="J19" i="4"/>
  <c r="I19" i="4"/>
  <c r="H19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J16" i="4"/>
  <c r="J32" i="4" s="1"/>
  <c r="J12" i="4"/>
  <c r="J28" i="4" s="1"/>
  <c r="J8" i="4"/>
  <c r="J24" i="4" s="1"/>
  <c r="J4" i="4"/>
  <c r="J20" i="4" s="1"/>
  <c r="I13" i="4"/>
  <c r="I29" i="4" s="1"/>
  <c r="I9" i="4"/>
  <c r="I25" i="4" s="1"/>
  <c r="I5" i="4"/>
  <c r="I21" i="4" s="1"/>
  <c r="H14" i="4"/>
  <c r="H30" i="4" s="1"/>
  <c r="H10" i="4"/>
  <c r="H26" i="4" s="1"/>
  <c r="H6" i="4"/>
  <c r="H22" i="4" s="1"/>
  <c r="C17" i="4"/>
  <c r="E16" i="4" s="1"/>
  <c r="E32" i="4" s="1"/>
  <c r="G19" i="4"/>
  <c r="F19" i="4"/>
  <c r="E19" i="4"/>
  <c r="D19" i="4"/>
  <c r="G16" i="4"/>
  <c r="G32" i="4" s="1"/>
  <c r="G15" i="4"/>
  <c r="G31" i="4" s="1"/>
  <c r="F15" i="4"/>
  <c r="F31" i="4" s="1"/>
  <c r="F14" i="4"/>
  <c r="F30" i="4" s="1"/>
  <c r="D14" i="4"/>
  <c r="D30" i="4" s="1"/>
  <c r="E13" i="4"/>
  <c r="E29" i="4" s="1"/>
  <c r="D13" i="4"/>
  <c r="D29" i="4" s="1"/>
  <c r="E12" i="4"/>
  <c r="E28" i="4" s="1"/>
  <c r="D12" i="4"/>
  <c r="D28" i="4" s="1"/>
  <c r="E11" i="4"/>
  <c r="E27" i="4" s="1"/>
  <c r="D11" i="4"/>
  <c r="D27" i="4" s="1"/>
  <c r="E10" i="4"/>
  <c r="E26" i="4" s="1"/>
  <c r="D10" i="4"/>
  <c r="D26" i="4" s="1"/>
  <c r="E9" i="4"/>
  <c r="E25" i="4" s="1"/>
  <c r="D9" i="4"/>
  <c r="D25" i="4" s="1"/>
  <c r="E8" i="4"/>
  <c r="E24" i="4" s="1"/>
  <c r="D8" i="4"/>
  <c r="D24" i="4" s="1"/>
  <c r="E7" i="4"/>
  <c r="E23" i="4" s="1"/>
  <c r="D7" i="4"/>
  <c r="D23" i="4" s="1"/>
  <c r="E6" i="4"/>
  <c r="E22" i="4" s="1"/>
  <c r="D6" i="4"/>
  <c r="D22" i="4" s="1"/>
  <c r="E5" i="4"/>
  <c r="E21" i="4" s="1"/>
  <c r="D5" i="4"/>
  <c r="D21" i="4" s="1"/>
  <c r="E4" i="4"/>
  <c r="E20" i="4" s="1"/>
  <c r="D4" i="4"/>
  <c r="D20" i="4" s="1"/>
  <c r="D33" i="5" l="1"/>
  <c r="I33" i="5"/>
  <c r="G33" i="5"/>
  <c r="H33" i="5"/>
  <c r="F33" i="5"/>
  <c r="E33" i="5"/>
  <c r="J33" i="5"/>
  <c r="H7" i="4"/>
  <c r="H23" i="4" s="1"/>
  <c r="H11" i="4"/>
  <c r="H27" i="4" s="1"/>
  <c r="H15" i="4"/>
  <c r="H31" i="4" s="1"/>
  <c r="I6" i="4"/>
  <c r="I22" i="4" s="1"/>
  <c r="I10" i="4"/>
  <c r="I26" i="4" s="1"/>
  <c r="I14" i="4"/>
  <c r="I30" i="4" s="1"/>
  <c r="J5" i="4"/>
  <c r="J21" i="4" s="1"/>
  <c r="J9" i="4"/>
  <c r="J25" i="4" s="1"/>
  <c r="J13" i="4"/>
  <c r="J29" i="4" s="1"/>
  <c r="F4" i="4"/>
  <c r="F20" i="4" s="1"/>
  <c r="F33" i="4" s="1"/>
  <c r="F5" i="4"/>
  <c r="F21" i="4" s="1"/>
  <c r="F6" i="4"/>
  <c r="F22" i="4" s="1"/>
  <c r="F7" i="4"/>
  <c r="F23" i="4" s="1"/>
  <c r="F8" i="4"/>
  <c r="F24" i="4" s="1"/>
  <c r="F9" i="4"/>
  <c r="F25" i="4" s="1"/>
  <c r="F10" i="4"/>
  <c r="F26" i="4" s="1"/>
  <c r="F11" i="4"/>
  <c r="F27" i="4" s="1"/>
  <c r="F12" i="4"/>
  <c r="F28" i="4" s="1"/>
  <c r="F13" i="4"/>
  <c r="F29" i="4" s="1"/>
  <c r="G14" i="4"/>
  <c r="G30" i="4" s="1"/>
  <c r="D16" i="4"/>
  <c r="D32" i="4" s="1"/>
  <c r="H4" i="4"/>
  <c r="H20" i="4" s="1"/>
  <c r="H8" i="4"/>
  <c r="H24" i="4" s="1"/>
  <c r="H12" i="4"/>
  <c r="H28" i="4" s="1"/>
  <c r="H16" i="4"/>
  <c r="H32" i="4" s="1"/>
  <c r="I7" i="4"/>
  <c r="I23" i="4" s="1"/>
  <c r="I11" i="4"/>
  <c r="I27" i="4" s="1"/>
  <c r="I15" i="4"/>
  <c r="I31" i="4" s="1"/>
  <c r="J6" i="4"/>
  <c r="J22" i="4" s="1"/>
  <c r="J10" i="4"/>
  <c r="J26" i="4" s="1"/>
  <c r="J14" i="4"/>
  <c r="J30" i="4" s="1"/>
  <c r="G4" i="4"/>
  <c r="G20" i="4" s="1"/>
  <c r="G5" i="4"/>
  <c r="G21" i="4" s="1"/>
  <c r="G6" i="4"/>
  <c r="G22" i="4" s="1"/>
  <c r="G7" i="4"/>
  <c r="G23" i="4" s="1"/>
  <c r="G8" i="4"/>
  <c r="G24" i="4" s="1"/>
  <c r="G9" i="4"/>
  <c r="G25" i="4" s="1"/>
  <c r="G10" i="4"/>
  <c r="G26" i="4" s="1"/>
  <c r="G11" i="4"/>
  <c r="G27" i="4" s="1"/>
  <c r="G12" i="4"/>
  <c r="G28" i="4" s="1"/>
  <c r="G13" i="4"/>
  <c r="G29" i="4" s="1"/>
  <c r="D15" i="4"/>
  <c r="D31" i="4" s="1"/>
  <c r="F16" i="4"/>
  <c r="F32" i="4" s="1"/>
  <c r="H5" i="4"/>
  <c r="H21" i="4" s="1"/>
  <c r="H9" i="4"/>
  <c r="H25" i="4" s="1"/>
  <c r="H13" i="4"/>
  <c r="H29" i="4" s="1"/>
  <c r="I4" i="4"/>
  <c r="I20" i="4" s="1"/>
  <c r="I33" i="4" s="1"/>
  <c r="I8" i="4"/>
  <c r="I24" i="4" s="1"/>
  <c r="I12" i="4"/>
  <c r="I28" i="4" s="1"/>
  <c r="I16" i="4"/>
  <c r="I32" i="4" s="1"/>
  <c r="J7" i="4"/>
  <c r="J23" i="4" s="1"/>
  <c r="J11" i="4"/>
  <c r="J27" i="4" s="1"/>
  <c r="J15" i="4"/>
  <c r="J31" i="4" s="1"/>
  <c r="D33" i="4"/>
  <c r="E14" i="4"/>
  <c r="E30" i="4" s="1"/>
  <c r="E15" i="4"/>
  <c r="E31" i="4" s="1"/>
  <c r="G33" i="3"/>
  <c r="F33" i="3"/>
  <c r="E33" i="3"/>
  <c r="D33" i="3"/>
  <c r="D20" i="3"/>
  <c r="F19" i="3"/>
  <c r="E19" i="3"/>
  <c r="D19" i="3"/>
  <c r="G19" i="3"/>
  <c r="E20" i="3"/>
  <c r="F20" i="3"/>
  <c r="G20" i="3"/>
  <c r="D21" i="3"/>
  <c r="E21" i="3"/>
  <c r="F21" i="3"/>
  <c r="G21" i="3"/>
  <c r="G24" i="3"/>
  <c r="G23" i="3"/>
  <c r="F23" i="3"/>
  <c r="D23" i="3"/>
  <c r="D24" i="3"/>
  <c r="D25" i="3"/>
  <c r="G10" i="3"/>
  <c r="G26" i="3" s="1"/>
  <c r="F10" i="3"/>
  <c r="F26" i="3" s="1"/>
  <c r="E10" i="3"/>
  <c r="E26" i="3" s="1"/>
  <c r="D10" i="3"/>
  <c r="D26" i="3" s="1"/>
  <c r="G9" i="3"/>
  <c r="G25" i="3" s="1"/>
  <c r="F9" i="3"/>
  <c r="F25" i="3" s="1"/>
  <c r="E9" i="3"/>
  <c r="E25" i="3" s="1"/>
  <c r="D9" i="3"/>
  <c r="G8" i="3"/>
  <c r="F8" i="3"/>
  <c r="F24" i="3" s="1"/>
  <c r="E8" i="3"/>
  <c r="E24" i="3" s="1"/>
  <c r="D8" i="3"/>
  <c r="G7" i="3"/>
  <c r="F7" i="3"/>
  <c r="E7" i="3"/>
  <c r="E23" i="3" s="1"/>
  <c r="D7" i="3"/>
  <c r="G6" i="3"/>
  <c r="G22" i="3" s="1"/>
  <c r="F6" i="3"/>
  <c r="F22" i="3" s="1"/>
  <c r="E6" i="3"/>
  <c r="E22" i="3" s="1"/>
  <c r="D6" i="3"/>
  <c r="D22" i="3" s="1"/>
  <c r="G5" i="3"/>
  <c r="F5" i="3"/>
  <c r="E5" i="3"/>
  <c r="D5" i="3"/>
  <c r="G4" i="3"/>
  <c r="F4" i="3"/>
  <c r="E4" i="3"/>
  <c r="D4" i="3"/>
  <c r="E16" i="3"/>
  <c r="E32" i="3" s="1"/>
  <c r="G16" i="3"/>
  <c r="G32" i="3" s="1"/>
  <c r="F16" i="3"/>
  <c r="F32" i="3" s="1"/>
  <c r="D16" i="3"/>
  <c r="D32" i="3" s="1"/>
  <c r="G15" i="3"/>
  <c r="G31" i="3" s="1"/>
  <c r="F15" i="3"/>
  <c r="F31" i="3" s="1"/>
  <c r="D15" i="3"/>
  <c r="D31" i="3" s="1"/>
  <c r="G14" i="3"/>
  <c r="G30" i="3" s="1"/>
  <c r="F14" i="3"/>
  <c r="F30" i="3" s="1"/>
  <c r="D14" i="3"/>
  <c r="D30" i="3" s="1"/>
  <c r="G13" i="3"/>
  <c r="G29" i="3" s="1"/>
  <c r="F13" i="3"/>
  <c r="F29" i="3" s="1"/>
  <c r="D13" i="3"/>
  <c r="D29" i="3" s="1"/>
  <c r="G12" i="3"/>
  <c r="G28" i="3" s="1"/>
  <c r="F12" i="3"/>
  <c r="F28" i="3" s="1"/>
  <c r="D12" i="3"/>
  <c r="D28" i="3" s="1"/>
  <c r="G11" i="3"/>
  <c r="G27" i="3" s="1"/>
  <c r="F11" i="3"/>
  <c r="F27" i="3" s="1"/>
  <c r="D11" i="3"/>
  <c r="D27" i="3" s="1"/>
  <c r="J33" i="4" l="1"/>
  <c r="H33" i="4"/>
  <c r="G33" i="4"/>
  <c r="E33" i="4"/>
  <c r="E11" i="3"/>
  <c r="E27" i="3" s="1"/>
  <c r="E12" i="3"/>
  <c r="E28" i="3" s="1"/>
  <c r="E13" i="3"/>
  <c r="E29" i="3" s="1"/>
  <c r="E14" i="3"/>
  <c r="E30" i="3" s="1"/>
  <c r="E15" i="3"/>
  <c r="E31" i="3" s="1"/>
  <c r="A14" i="2"/>
  <c r="A15" i="2"/>
  <c r="A16" i="2"/>
  <c r="A17" i="2"/>
  <c r="A18" i="2"/>
  <c r="A13" i="2"/>
  <c r="F19" i="2"/>
  <c r="G19" i="2"/>
  <c r="G18" i="2"/>
  <c r="G17" i="2"/>
  <c r="G16" i="2"/>
  <c r="G15" i="2"/>
  <c r="G14" i="2"/>
  <c r="G13" i="2"/>
  <c r="F18" i="2"/>
  <c r="F17" i="2"/>
  <c r="F16" i="2"/>
  <c r="F15" i="2"/>
  <c r="F14" i="2"/>
  <c r="F13" i="2"/>
  <c r="G9" i="2"/>
  <c r="G8" i="2"/>
  <c r="G7" i="2"/>
  <c r="G6" i="2"/>
  <c r="G5" i="2"/>
  <c r="G4" i="2"/>
  <c r="F9" i="2"/>
  <c r="F8" i="2"/>
  <c r="F7" i="2"/>
  <c r="F6" i="2"/>
  <c r="F5" i="2"/>
  <c r="F4" i="2"/>
  <c r="C10" i="2"/>
  <c r="E9" i="2" s="1"/>
  <c r="E18" i="2" s="1"/>
  <c r="D8" i="2"/>
  <c r="D17" i="2" s="1"/>
  <c r="D6" i="2"/>
  <c r="D15" i="2" s="1"/>
  <c r="D4" i="2"/>
  <c r="D13" i="2" s="1"/>
  <c r="E4" i="2" l="1"/>
  <c r="E13" i="2" s="1"/>
  <c r="E19" i="2" s="1"/>
  <c r="E6" i="2"/>
  <c r="E15" i="2" s="1"/>
  <c r="E8" i="2"/>
  <c r="E17" i="2" s="1"/>
  <c r="D5" i="2"/>
  <c r="D14" i="2" s="1"/>
  <c r="D7" i="2"/>
  <c r="D16" i="2" s="1"/>
  <c r="D9" i="2"/>
  <c r="D18" i="2" s="1"/>
  <c r="E5" i="2"/>
  <c r="E14" i="2" s="1"/>
  <c r="E7" i="2"/>
  <c r="E16" i="2" s="1"/>
  <c r="D19" i="2"/>
  <c r="E19" i="1"/>
  <c r="D19" i="1"/>
  <c r="E18" i="1"/>
  <c r="E17" i="1"/>
  <c r="E16" i="1"/>
  <c r="E15" i="1"/>
  <c r="E14" i="1"/>
  <c r="E13" i="1"/>
  <c r="D14" i="1"/>
  <c r="D15" i="1"/>
  <c r="D16" i="1"/>
  <c r="D17" i="1"/>
  <c r="D18" i="1"/>
  <c r="D13" i="1"/>
  <c r="E9" i="1"/>
  <c r="E8" i="1"/>
  <c r="E7" i="1"/>
  <c r="E6" i="1"/>
  <c r="E5" i="1"/>
  <c r="E4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<sst xmlns="http://schemas.openxmlformats.org/spreadsheetml/2006/main" count="1035" uniqueCount="608">
  <si>
    <t xml:space="preserve">Производство 4585 от 03.10.2025 </t>
  </si>
  <si>
    <t xml:space="preserve">Производство 4627 от 06.10.2025 </t>
  </si>
  <si>
    <t xml:space="preserve">Производство 4636 от 07.10.2025 </t>
  </si>
  <si>
    <t xml:space="preserve">Производство 4671 от 08.10.2025 </t>
  </si>
  <si>
    <t xml:space="preserve">Производство 4689 от 09.10.2025 </t>
  </si>
  <si>
    <t xml:space="preserve">Производство 4747 от 10.10.2025 </t>
  </si>
  <si>
    <t>Итого</t>
  </si>
  <si>
    <t>600dne</t>
  </si>
  <si>
    <t>150суровая</t>
  </si>
  <si>
    <t>заказ 1738</t>
  </si>
  <si>
    <t>заказ 1770</t>
  </si>
  <si>
    <t xml:space="preserve">Производство 4640 от 07.10.2025 </t>
  </si>
  <si>
    <t xml:space="preserve">Производство 4672 от 08.10.2025 </t>
  </si>
  <si>
    <t xml:space="preserve">Производство 4700 от 09.10.2025 </t>
  </si>
  <si>
    <t xml:space="preserve">Производство 4757 от 10.10.2025 </t>
  </si>
  <si>
    <t xml:space="preserve">Производство 4773 от 13.10.2025 </t>
  </si>
  <si>
    <t xml:space="preserve">Производство 4798 от 14.10.2025 </t>
  </si>
  <si>
    <t>Пряжа вискозная 20текс (Nm 50/1)</t>
  </si>
  <si>
    <t>Нить трилобал 167 дтекс f 32</t>
  </si>
  <si>
    <t xml:space="preserve">Производство 4785 от 13.10.2025 </t>
  </si>
  <si>
    <t xml:space="preserve">Производство 4795 от 14.10.2025 </t>
  </si>
  <si>
    <t xml:space="preserve">Производство 4884 от 15.10.2025 </t>
  </si>
  <si>
    <t xml:space="preserve">Производство 4920 от 16.10.2025 </t>
  </si>
  <si>
    <t xml:space="preserve">Производство 4932 от 17.10.2025 </t>
  </si>
  <si>
    <t xml:space="preserve">Производство 4961 от 20.10.2025 </t>
  </si>
  <si>
    <t xml:space="preserve">Производство 4962 от 20.10.2025 </t>
  </si>
  <si>
    <t xml:space="preserve">Производство 4963 от 20.10.2025 </t>
  </si>
  <si>
    <t xml:space="preserve">Производство 4964 от 20.10.2025 </t>
  </si>
  <si>
    <t xml:space="preserve">Производство 4965 от 20.10.2025 </t>
  </si>
  <si>
    <t xml:space="preserve">Производство 4966 от 20.10.2025 </t>
  </si>
  <si>
    <t xml:space="preserve">Производство 4967 от 20.10.2025 </t>
  </si>
  <si>
    <t xml:space="preserve">Производство 4981 от 20.10.2025 </t>
  </si>
  <si>
    <t>Нить п/э текстур. окр. нкрч. Текс 16,7 f 32,48 А черн №3603</t>
  </si>
  <si>
    <t>трилобал 167 дтекс f 32</t>
  </si>
  <si>
    <t>Пряжа п/э меланжевая25,0 текс Nm 40/1 (белая+черн)</t>
  </si>
  <si>
    <t>заказ 1796</t>
  </si>
  <si>
    <t>заказ 1801 + 1802</t>
  </si>
  <si>
    <t xml:space="preserve">Производство 5042 от 21.10.2025 </t>
  </si>
  <si>
    <t xml:space="preserve">Производство 5116 от 22.10.2025 </t>
  </si>
  <si>
    <t xml:space="preserve">Производство 5134 от 23.10.2025 </t>
  </si>
  <si>
    <t xml:space="preserve">Производство 5063 от 21.10.2025 </t>
  </si>
  <si>
    <t>150D #236</t>
  </si>
  <si>
    <t>150D суровая</t>
  </si>
  <si>
    <t>20 текс</t>
  </si>
  <si>
    <t>300dne</t>
  </si>
  <si>
    <t>150D #327</t>
  </si>
  <si>
    <t>18,8 №135</t>
  </si>
  <si>
    <t>заказ 1801</t>
  </si>
  <si>
    <t>заказ 1802</t>
  </si>
  <si>
    <t>заказ 1650</t>
  </si>
  <si>
    <t xml:space="preserve">Производство 4937 от 17.10.2025 </t>
  </si>
  <si>
    <t xml:space="preserve">Производство 4980 от 20.10.2025 </t>
  </si>
  <si>
    <t xml:space="preserve">Производство 5022 от 21.10.2025 </t>
  </si>
  <si>
    <t xml:space="preserve">Производство 5025 от 21.10.2025 </t>
  </si>
  <si>
    <t xml:space="preserve">Производство 5120 от 22.10.2025 </t>
  </si>
  <si>
    <t xml:space="preserve">Производство 5135 от 23.10.2025 </t>
  </si>
  <si>
    <t xml:space="preserve">Производство 5210 от 24.10.2025 </t>
  </si>
  <si>
    <t xml:space="preserve">Производство 5222 от 24.10.2025 </t>
  </si>
  <si>
    <t>заказ 1960</t>
  </si>
  <si>
    <t>пряжа 20 текс</t>
  </si>
  <si>
    <t>Нить 150D/48 F №130</t>
  </si>
  <si>
    <t xml:space="preserve">Производство 5543 от 05.11.2025 </t>
  </si>
  <si>
    <t xml:space="preserve">Производство 5603 от 06.11.2025 </t>
  </si>
  <si>
    <t>заказ 1872+1926</t>
  </si>
  <si>
    <t xml:space="preserve">Производство 5293 от 27.10.2025 </t>
  </si>
  <si>
    <t xml:space="preserve">Производство 5362 от 28.10.2025 </t>
  </si>
  <si>
    <t xml:space="preserve">Производство 5363 от 29.10.2025 </t>
  </si>
  <si>
    <t xml:space="preserve">Производство 5380 от 29.10.2025 </t>
  </si>
  <si>
    <t xml:space="preserve">Производство 5458 от 30.10.2025 </t>
  </si>
  <si>
    <t xml:space="preserve">Производство 5490 от 31.10.2025 </t>
  </si>
  <si>
    <t xml:space="preserve">Производство 5535 от 01.11.2025 </t>
  </si>
  <si>
    <t xml:space="preserve">Производство 5538 от 05.11.2025 </t>
  </si>
  <si>
    <t>заказ 1900</t>
  </si>
  <si>
    <t xml:space="preserve">Производство 5291 от 27.10.2025 </t>
  </si>
  <si>
    <t xml:space="preserve">Производство 5357 от 28.10.2025 </t>
  </si>
  <si>
    <t xml:space="preserve">Производство 5393 от 29.10.2025 </t>
  </si>
  <si>
    <t xml:space="preserve">Производство 5414 от 30.10.2025 </t>
  </si>
  <si>
    <t xml:space="preserve">Производство 5527 от 31.10.2025 </t>
  </si>
  <si>
    <t xml:space="preserve">Производство 5534 от 01.11.2025 </t>
  </si>
  <si>
    <t xml:space="preserve">Производство 5571 от 05.11.2025 </t>
  </si>
  <si>
    <t xml:space="preserve">Производство 5592 от 06.11.2025 </t>
  </si>
  <si>
    <t xml:space="preserve">Производство 5686 от 07.11.2025 </t>
  </si>
  <si>
    <t xml:space="preserve">Производство 5699 от 08.11.2025 </t>
  </si>
  <si>
    <t xml:space="preserve">Производство 5723 от 09.11.2025 </t>
  </si>
  <si>
    <t xml:space="preserve">Производство 5744 от 10.11.2025 </t>
  </si>
  <si>
    <t>заказ 1932</t>
  </si>
  <si>
    <t>Пряжа 20текс</t>
  </si>
  <si>
    <t>900dne</t>
  </si>
  <si>
    <t xml:space="preserve">Производство 5642 от 06.11.2025 </t>
  </si>
  <si>
    <t xml:space="preserve">Производство 5668 от 07.11.2025 </t>
  </si>
  <si>
    <t xml:space="preserve">Производство 5701 от 08.11.2025 </t>
  </si>
  <si>
    <t xml:space="preserve">Производство 5716 от 09.11.2025 </t>
  </si>
  <si>
    <t xml:space="preserve">Производство 5759 от 10.11.2025 </t>
  </si>
  <si>
    <t xml:space="preserve">Производство 5778 от 11.11.2025 </t>
  </si>
  <si>
    <t xml:space="preserve">Производство 5907 от 12.11.2025 </t>
  </si>
  <si>
    <t xml:space="preserve">Производство 5969 от 13.11.2025 </t>
  </si>
  <si>
    <t>заказ 1933</t>
  </si>
  <si>
    <t>трилоб сер</t>
  </si>
  <si>
    <t xml:space="preserve">Производство 5773 от 10.11.2025 </t>
  </si>
  <si>
    <t xml:space="preserve">Производство 5804 от 11.11.2025 </t>
  </si>
  <si>
    <t xml:space="preserve">Производство 5906 от 12.11.2025 </t>
  </si>
  <si>
    <t xml:space="preserve">Производство 5918 от 13.11.2025 </t>
  </si>
  <si>
    <t>заказ 1947</t>
  </si>
  <si>
    <t>меланж  (б+ч)</t>
  </si>
  <si>
    <t>150D №149</t>
  </si>
  <si>
    <t xml:space="preserve">Производство 5983 от 13.11.2025 </t>
  </si>
  <si>
    <t xml:space="preserve">Производство 6000 от 14.11.2025 </t>
  </si>
  <si>
    <t>нормы факт</t>
  </si>
  <si>
    <t>нормы план</t>
  </si>
  <si>
    <t>отклонение, %</t>
  </si>
  <si>
    <t>заказ 1934</t>
  </si>
  <si>
    <t>150D №246</t>
  </si>
  <si>
    <t>пряжа 25текс</t>
  </si>
  <si>
    <t xml:space="preserve">Производство 5981 от 13.11.2025 </t>
  </si>
  <si>
    <t xml:space="preserve">Производство 6011 от 14.11.2025 </t>
  </si>
  <si>
    <t xml:space="preserve">Производство 6042 от 15.11.2025 </t>
  </si>
  <si>
    <t>Ткань Sonberry 300гр/м2 ш.2,2м серый (с пряжей)</t>
  </si>
  <si>
    <t>заказ 1899</t>
  </si>
  <si>
    <t>трилоб черн</t>
  </si>
  <si>
    <t>пряжа 20текс</t>
  </si>
  <si>
    <t xml:space="preserve">Производство 5528 от 31.10.2025 </t>
  </si>
  <si>
    <t xml:space="preserve">Производство 5536 от 01.11.2025 </t>
  </si>
  <si>
    <t xml:space="preserve">Производство 5570 от 05.11.2025 </t>
  </si>
  <si>
    <t xml:space="preserve">Производство 5639 от 06.11.2025 </t>
  </si>
  <si>
    <t xml:space="preserve">Производство 6027 от 14.11.2025 </t>
  </si>
  <si>
    <t xml:space="preserve">Производство 6034 от 15.11.2025 </t>
  </si>
  <si>
    <t xml:space="preserve">Производство 6086 от 17.11.2025 </t>
  </si>
  <si>
    <t xml:space="preserve">Производство 6180 от 18.11.2025 </t>
  </si>
  <si>
    <t xml:space="preserve">Производство 6211 от 19.11.2025 </t>
  </si>
  <si>
    <t>Ткань Sots W-B 240 г/кв.м,  ш.2.1</t>
  </si>
  <si>
    <t>заказ 2086</t>
  </si>
  <si>
    <t>Ткань Sots black 425г/кв.м,  ш.2.2</t>
  </si>
  <si>
    <t>нить 3603</t>
  </si>
  <si>
    <t>меланж 29,4 ч+б</t>
  </si>
  <si>
    <t>900dne Турция</t>
  </si>
  <si>
    <t xml:space="preserve">Производство 6394 от 24.11.2025 </t>
  </si>
  <si>
    <t xml:space="preserve">Производство 6476 от 25.11.2025 </t>
  </si>
  <si>
    <t>заказ 2126</t>
  </si>
  <si>
    <t xml:space="preserve">Ткань Философия SB grey 230г/кв.м,  ш.2.20 м </t>
  </si>
  <si>
    <t xml:space="preserve">Производство 6632 от 26.11.2025 </t>
  </si>
  <si>
    <t xml:space="preserve">Производство 6643 от 27.11.2025 </t>
  </si>
  <si>
    <t xml:space="preserve">Производство 6739 от 28.11.2025 </t>
  </si>
  <si>
    <t xml:space="preserve">Производство 6777 от 01.12.2025 </t>
  </si>
  <si>
    <t>150dne суровая</t>
  </si>
  <si>
    <t>150dne №246 grey</t>
  </si>
  <si>
    <t xml:space="preserve">Ткань Lux grey 230г/кв.м,  ш.2.2 </t>
  </si>
  <si>
    <t>Ткань K06KZ 240г/кв.м,  ш.2.2</t>
  </si>
  <si>
    <t>заказ 1964</t>
  </si>
  <si>
    <t xml:space="preserve">Ткань Философия SB 230г/кв.м,  ш.2.15 м </t>
  </si>
  <si>
    <t>150dne суровая Турция</t>
  </si>
  <si>
    <t xml:space="preserve">Производство 5687 от 07.11.2025 </t>
  </si>
  <si>
    <t xml:space="preserve">Производство 5712 от 08.11.2025 </t>
  </si>
  <si>
    <t xml:space="preserve">Производство 5726 от 09.11.2025 </t>
  </si>
  <si>
    <t xml:space="preserve">Производство 5774 от 10.11.2025 </t>
  </si>
  <si>
    <t xml:space="preserve">Производство 5777 от 11.11.2025 </t>
  </si>
  <si>
    <t xml:space="preserve">Производство 5905 от 12.11.2025 </t>
  </si>
  <si>
    <t xml:space="preserve">Производство 5915 от 13.11.2025 </t>
  </si>
  <si>
    <t xml:space="preserve">Производство 6005 от 14.11.2025 </t>
  </si>
  <si>
    <t xml:space="preserve">Производство 6043 от 15.11.2025 </t>
  </si>
  <si>
    <t xml:space="preserve">Производство 6063 от 17.11.2025 </t>
  </si>
  <si>
    <t xml:space="preserve">Производство 6175 от 18.11.2025 </t>
  </si>
  <si>
    <t xml:space="preserve">Производство 6209 от 19.11.2025 </t>
  </si>
  <si>
    <t xml:space="preserve">Производство 6275 от 20.11.2025 </t>
  </si>
  <si>
    <t xml:space="preserve">Производство 6323 от 21.11.2025 </t>
  </si>
  <si>
    <t xml:space="preserve">Производство 6446 от 24.11.2025 </t>
  </si>
  <si>
    <t xml:space="preserve">Производство 6543 от 25.11.2025 </t>
  </si>
  <si>
    <t xml:space="preserve">Производство 6555 от 26.11.2025 </t>
  </si>
  <si>
    <t xml:space="preserve">Производство 6651 от 27.11.2025 </t>
  </si>
  <si>
    <t xml:space="preserve">Производство 6753 от 28.11.2025 </t>
  </si>
  <si>
    <t xml:space="preserve">Производство 6764 от 29.11.2025 </t>
  </si>
  <si>
    <t xml:space="preserve">Производство 6835 от 01.12.2025 </t>
  </si>
  <si>
    <t xml:space="preserve">Производство 6869 от 02.12.2025 </t>
  </si>
  <si>
    <t xml:space="preserve">Производство 6932 от 03.12.2025 </t>
  </si>
  <si>
    <t xml:space="preserve">Производство 6983 от 04.12.2025 </t>
  </si>
  <si>
    <t xml:space="preserve">Производство 7043 от 05.12.2025 </t>
  </si>
  <si>
    <t xml:space="preserve">Производство 7056 от 08.12.2025 </t>
  </si>
  <si>
    <t xml:space="preserve">Производство 7103 от 09.12.2025 </t>
  </si>
  <si>
    <t xml:space="preserve">Производство 7142 от 10.12.2025 </t>
  </si>
  <si>
    <t xml:space="preserve">Производство 7173 от 11.12.2025 </t>
  </si>
  <si>
    <t xml:space="preserve"> </t>
  </si>
  <si>
    <t>заказ 2162</t>
  </si>
  <si>
    <t>Ткань Vetochki 2 290г/кв.м,  ш.2.2</t>
  </si>
  <si>
    <t>300dne Турция</t>
  </si>
  <si>
    <t>Нить п/э 150D/48 F No 130 light beige / св.бежевый</t>
  </si>
  <si>
    <t xml:space="preserve">Производство 7104 от 09.12.2025 </t>
  </si>
  <si>
    <t xml:space="preserve">Производство 7144 от 10.12.2025 </t>
  </si>
  <si>
    <t xml:space="preserve">Производство 7190 от 11.12.2025 </t>
  </si>
  <si>
    <t xml:space="preserve">Производство 7202 от 12.12.2025 </t>
  </si>
  <si>
    <t xml:space="preserve">Производство 7209 от 13.12.2025 </t>
  </si>
  <si>
    <t>заказ 2080</t>
  </si>
  <si>
    <t>Ткань ODG-1125 280г/кв.м,  ш.2.2</t>
  </si>
  <si>
    <t>500пм</t>
  </si>
  <si>
    <t>пряжа смешанная 20 текс</t>
  </si>
  <si>
    <t>трилобал 167</t>
  </si>
  <si>
    <t xml:space="preserve">Производство 7157 от 10.12.2025 </t>
  </si>
  <si>
    <t xml:space="preserve">Производство 7181 от 11.12.2025 </t>
  </si>
  <si>
    <t xml:space="preserve">Производство 7200 от 12.12.2025 </t>
  </si>
  <si>
    <t>заказ У510</t>
  </si>
  <si>
    <t>TY-4897 цветы 185г/кв.м, ш.2.20 м Ткань</t>
  </si>
  <si>
    <t>2000пм</t>
  </si>
  <si>
    <t xml:space="preserve">Производство 364 от 11.12.2025 </t>
  </si>
  <si>
    <t xml:space="preserve">Производство 367 от 12.12.2025 </t>
  </si>
  <si>
    <t xml:space="preserve">Производство 371 от 13.12.2025 </t>
  </si>
  <si>
    <t xml:space="preserve">Производство 382 от 14.12.2025 </t>
  </si>
  <si>
    <t xml:space="preserve">Производство 387 от 15.12.2025 </t>
  </si>
  <si>
    <t>заказ 2206</t>
  </si>
  <si>
    <t>Lux White 230г/кв.м, ш.2.2 Ткань</t>
  </si>
  <si>
    <t>Трилобал 167</t>
  </si>
  <si>
    <t xml:space="preserve">Производство 7264 от 16.12.2025 </t>
  </si>
  <si>
    <t xml:space="preserve">Производство 7325 от 17.12.2025 </t>
  </si>
  <si>
    <t xml:space="preserve">Производство 7356 от 18.12.2025 </t>
  </si>
  <si>
    <t xml:space="preserve">Производство 7433 от 19.12.2025 </t>
  </si>
  <si>
    <t>заказ 2225</t>
  </si>
  <si>
    <t>Bio 240г/кв.м, ш.2,2 Ткань</t>
  </si>
  <si>
    <t>Нить 150D/48 №327 горчичный</t>
  </si>
  <si>
    <t xml:space="preserve">150dne суровая </t>
  </si>
  <si>
    <t xml:space="preserve">Производство 7605 от 25.12.2025 </t>
  </si>
  <si>
    <t xml:space="preserve">Производство 7653 от 26.12.2025 </t>
  </si>
  <si>
    <t xml:space="preserve">Производство 7759 от 29.12.2025 </t>
  </si>
  <si>
    <t xml:space="preserve">Производство 7769 от 30.12.2025 </t>
  </si>
  <si>
    <t>150dne суровая Турция НЕ СПИСЫВАЮ, ПОТОМУ ЧТО ЕЕ НЕТ НА ОСТАТКЕ В 1С</t>
  </si>
  <si>
    <t>1000пм</t>
  </si>
  <si>
    <t>заказ 2222</t>
  </si>
  <si>
    <t>K06KZ 240г/кв.м, ш.2.2 Ткань</t>
  </si>
  <si>
    <t>Пряжа меланж 25текс</t>
  </si>
  <si>
    <t>Нить 150D/48 №149 серый</t>
  </si>
  <si>
    <t xml:space="preserve">Производство 7243 от 15.12.2025 </t>
  </si>
  <si>
    <t xml:space="preserve">Производство 7275 от 16.12.2025 </t>
  </si>
  <si>
    <t xml:space="preserve">Производство 7306 от 17.12.2025 </t>
  </si>
  <si>
    <t>заказ 2293</t>
  </si>
  <si>
    <t>О-215 black 240гр/кв.м ш.2.2 Ткань</t>
  </si>
  <si>
    <t>300пм</t>
  </si>
  <si>
    <t>Нить №3603 черн</t>
  </si>
  <si>
    <t xml:space="preserve">Производство 7652 от 26.12.2025 </t>
  </si>
  <si>
    <t xml:space="preserve">Производство 7729 от 29.12.2025 </t>
  </si>
  <si>
    <t>заказ 2333</t>
  </si>
  <si>
    <t>Sonberry purotex (active probiotics) 220г/кв.м, ш.2,2 Ткань</t>
  </si>
  <si>
    <t>Нить 118,8 В серый 255</t>
  </si>
  <si>
    <t xml:space="preserve">Производство 7 от 05.01.2026 </t>
  </si>
  <si>
    <t xml:space="preserve">Производство 16 от 06.01.2026 </t>
  </si>
  <si>
    <t xml:space="preserve">Производство 19 от 07.01.2026 </t>
  </si>
  <si>
    <t xml:space="preserve">Производство 30 от 08.01.2026 </t>
  </si>
  <si>
    <t xml:space="preserve">Производство 35 от 09.01.2026 </t>
  </si>
  <si>
    <t xml:space="preserve">Производство 37 от 12.01.2026 </t>
  </si>
  <si>
    <t xml:space="preserve">Производство 5 от 05.01.2026 </t>
  </si>
  <si>
    <t>заказ У512</t>
  </si>
  <si>
    <t>OCHL-1112 360г/кв.м, ш.2.2 Ткань</t>
  </si>
  <si>
    <t>Вискоза 20текс</t>
  </si>
  <si>
    <t>900dne  Турция</t>
  </si>
  <si>
    <t>Метанить</t>
  </si>
  <si>
    <t>Трилобал серый</t>
  </si>
  <si>
    <t xml:space="preserve">Производство 441 от 19.12.2025 </t>
  </si>
  <si>
    <t xml:space="preserve">Производство 445 от 20.12.2025 </t>
  </si>
  <si>
    <t xml:space="preserve">Производство 450 от 22.12.2025 </t>
  </si>
  <si>
    <t xml:space="preserve">Производство 474 от 23.12.2025 </t>
  </si>
  <si>
    <t xml:space="preserve">Производство 480 от 24.12.2025 </t>
  </si>
  <si>
    <t>УПРАВЛЕНКА</t>
  </si>
  <si>
    <t>ПФ 2187,84пм</t>
  </si>
  <si>
    <t>ГП 2306,8пм (2185,18 отгружено + 110,84 брак + 10,78пм с желтым оттенком)</t>
  </si>
  <si>
    <t>заказ 2335</t>
  </si>
  <si>
    <t>Galaxy 320гр/м2 ш.2,2м светлая Ткань</t>
  </si>
  <si>
    <t>1500пм</t>
  </si>
  <si>
    <t>25 текс</t>
  </si>
  <si>
    <t>нить 3603 черн</t>
  </si>
  <si>
    <t xml:space="preserve">Производство 52 от 12.01.2026 </t>
  </si>
  <si>
    <t xml:space="preserve">Производство 80 от 13.01.2026 </t>
  </si>
  <si>
    <t xml:space="preserve">Производство 108 от 14.01.2026 </t>
  </si>
  <si>
    <t xml:space="preserve">Производство 194 от 15.01.2026 </t>
  </si>
  <si>
    <t xml:space="preserve">Производство 237 от 16.01.2026 </t>
  </si>
  <si>
    <t xml:space="preserve">Производство 273 от 19.01.2026 </t>
  </si>
  <si>
    <t xml:space="preserve">Производство 286 от 20.01.2026 </t>
  </si>
  <si>
    <t>заказ 41</t>
  </si>
  <si>
    <t>ODG-1125 280г/кв.м, ш.2.2 Ткань</t>
  </si>
  <si>
    <t>смешанная (хл+виск+лен) 20текс</t>
  </si>
  <si>
    <t xml:space="preserve">Производство 155 от 15.01.2026 </t>
  </si>
  <si>
    <t xml:space="preserve">Производство 204 от 16.01.2026 </t>
  </si>
  <si>
    <t xml:space="preserve">Производство 265 от 19.01.2026 </t>
  </si>
  <si>
    <t>заказ 2183</t>
  </si>
  <si>
    <t>Intense white 295гр/м2 ш.2,2м Ткань</t>
  </si>
  <si>
    <t>6000пм</t>
  </si>
  <si>
    <t xml:space="preserve">Производство 7212 от 13.12.2025 </t>
  </si>
  <si>
    <t xml:space="preserve">Производство 7221 от 14.12.2025 </t>
  </si>
  <si>
    <t xml:space="preserve">Производство 7226 от 15.12.2025 </t>
  </si>
  <si>
    <t xml:space="preserve">Производство 7304 от 16.12.2025 </t>
  </si>
  <si>
    <t xml:space="preserve">Производство 7307 от 17.12.2025 </t>
  </si>
  <si>
    <t xml:space="preserve">Производство 7376 от 18.12.2025 </t>
  </si>
  <si>
    <t xml:space="preserve">Производство 7434 от 19.12.2025 </t>
  </si>
  <si>
    <t xml:space="preserve">Производство 7435 от 20.12.2025 </t>
  </si>
  <si>
    <t xml:space="preserve">Производство 7510 от 22.12.2025 </t>
  </si>
  <si>
    <t xml:space="preserve">Производство 7607 от 25.12.2025 </t>
  </si>
  <si>
    <t xml:space="preserve">Производство 7631 от 26.12.2025 </t>
  </si>
  <si>
    <t xml:space="preserve">Производство 7730 от 29.12.2025 </t>
  </si>
  <si>
    <t xml:space="preserve">Производство 7772 от 30.12.2025 </t>
  </si>
  <si>
    <t xml:space="preserve">Производство 11 от 05.01.2026 </t>
  </si>
  <si>
    <t xml:space="preserve">Производство 17 от 06.01.2026 </t>
  </si>
  <si>
    <t xml:space="preserve">Производство 22 от 07.01.2026 </t>
  </si>
  <si>
    <t xml:space="preserve">Производство 29 от 08.01.2026 </t>
  </si>
  <si>
    <t xml:space="preserve">Производство 34 от 09.01.2026 </t>
  </si>
  <si>
    <t xml:space="preserve">Производство 42 от 12.01.2026 </t>
  </si>
  <si>
    <t xml:space="preserve">Производство 87 от 13.01.2026 </t>
  </si>
  <si>
    <t xml:space="preserve">Производство 89 от 14.01.2026 </t>
  </si>
  <si>
    <t xml:space="preserve">Производство 193 от 15.01.2026 </t>
  </si>
  <si>
    <t xml:space="preserve">Производство 210 от 16.01.2026 </t>
  </si>
  <si>
    <t xml:space="preserve">Производство 272 от 19.01.2026 </t>
  </si>
  <si>
    <t>заказ 52 и 104</t>
  </si>
  <si>
    <t>Bioform SS 260г/кв.м, ш.2.2 Ткань</t>
  </si>
  <si>
    <t>Bioform 260г/кв.м, ш.2.2 Ткань</t>
  </si>
  <si>
    <t>250пм</t>
  </si>
  <si>
    <t>Нить  18,8текс В цв.212</t>
  </si>
  <si>
    <t xml:space="preserve">Производство 297 от 20.01.2026 </t>
  </si>
  <si>
    <t xml:space="preserve">Производство 332 от 21.01.2026 </t>
  </si>
  <si>
    <t xml:space="preserve">Производство 386 от 21.01.2026 </t>
  </si>
  <si>
    <t xml:space="preserve">Производство 414 от 22.01.2026 </t>
  </si>
  <si>
    <t>374,06 ПФ</t>
  </si>
  <si>
    <t>287,87 ПФ</t>
  </si>
  <si>
    <t>заказ 114</t>
  </si>
  <si>
    <t>Bioform ProM 260г/кв.м, ш.2.2 Ткань</t>
  </si>
  <si>
    <t xml:space="preserve">150D  суровая </t>
  </si>
  <si>
    <t>18,8текс №212</t>
  </si>
  <si>
    <t xml:space="preserve">Производство 477 от 23.01.2026 </t>
  </si>
  <si>
    <t xml:space="preserve">Производство 482 от 26.01.2026 </t>
  </si>
  <si>
    <t xml:space="preserve">Производство 501 от 27.01.2026 </t>
  </si>
  <si>
    <t>546,12 ПФ</t>
  </si>
  <si>
    <t>543,72 ГП</t>
  </si>
  <si>
    <t>заказ 135 и 137</t>
  </si>
  <si>
    <t>"Квадраты" 350 г/кв.м, ш.2.2 Ткань</t>
  </si>
  <si>
    <t>Баймен 370 г/кв.м, ш.2.2 Ткань</t>
  </si>
  <si>
    <t>10пм</t>
  </si>
  <si>
    <t>14,24 ПФ</t>
  </si>
  <si>
    <t>14,27 ПФ</t>
  </si>
  <si>
    <t>нить 75/20 эластан бел</t>
  </si>
  <si>
    <t xml:space="preserve">Производство 620 от 29.01.2026 </t>
  </si>
  <si>
    <t xml:space="preserve">Производство 562 от 28.01.2026 </t>
  </si>
  <si>
    <t>заказ 133</t>
  </si>
  <si>
    <t>1646,44 ПФ</t>
  </si>
  <si>
    <t xml:space="preserve"> ГП</t>
  </si>
  <si>
    <t xml:space="preserve">Производство 523 от 28.01.2026 </t>
  </si>
  <si>
    <t xml:space="preserve">Производство 629 от 29.01.2026 </t>
  </si>
  <si>
    <t xml:space="preserve">Производство 677 от 30.01.2026 </t>
  </si>
  <si>
    <t xml:space="preserve">Производство 711 от 02.02.2026 </t>
  </si>
  <si>
    <t xml:space="preserve">Производство 743 от 03.02.2026 </t>
  </si>
  <si>
    <t>заказ 2242</t>
  </si>
  <si>
    <t>Relax 280г/кв.м, ш.2.2 Ткань</t>
  </si>
  <si>
    <t>2186,27 ПФ</t>
  </si>
  <si>
    <t>пряжа вискозн. 20текс</t>
  </si>
  <si>
    <t>150 суровая</t>
  </si>
  <si>
    <t>167 трилобал</t>
  </si>
  <si>
    <t xml:space="preserve">Производство 308 от 20.01.2026 </t>
  </si>
  <si>
    <t xml:space="preserve">Производство 321 от 21.01.2026 </t>
  </si>
  <si>
    <t xml:space="preserve">Производство 422 от 22.01.2026 </t>
  </si>
  <si>
    <t xml:space="preserve">Производство 755 от 03.02.2026 </t>
  </si>
  <si>
    <t xml:space="preserve">Производство 776 от 04.02.2026 </t>
  </si>
  <si>
    <t xml:space="preserve">Производство 790 от 05.02.2026 </t>
  </si>
  <si>
    <t xml:space="preserve">Производство 852 от 06.02.2026 </t>
  </si>
  <si>
    <t>заказ 2334</t>
  </si>
  <si>
    <t>Cotton S 240г/кв.м, ш.2.2 Ткань</t>
  </si>
  <si>
    <t>1160,25 ПФ</t>
  </si>
  <si>
    <t>1088,45 ГП</t>
  </si>
  <si>
    <t>150D/48 №295</t>
  </si>
  <si>
    <t>Пряжа хб 30/1 №1001</t>
  </si>
  <si>
    <t xml:space="preserve">Производство 279 от 19.01.2026 </t>
  </si>
  <si>
    <t xml:space="preserve">Производство 284 от 20.01.2026 </t>
  </si>
  <si>
    <t xml:space="preserve">Производство 336 от 21.01.2026 </t>
  </si>
  <si>
    <t xml:space="preserve">Производство 429 от 22.01.2026 </t>
  </si>
  <si>
    <t xml:space="preserve">Производство 479 от 23.01.2026 </t>
  </si>
  <si>
    <t xml:space="preserve">Производство 499 от 26.01.2026 </t>
  </si>
  <si>
    <t xml:space="preserve">Производство 508 от 27.01.2026 </t>
  </si>
  <si>
    <t>БУДЕМ ДОВЯЗЫВАТЬ</t>
  </si>
  <si>
    <t>заказ 186</t>
  </si>
  <si>
    <t>меланж 25текс 40/1</t>
  </si>
  <si>
    <t>нить 150D/48F №149</t>
  </si>
  <si>
    <t xml:space="preserve">Производство 865 от 09.02.2026 </t>
  </si>
  <si>
    <t xml:space="preserve">Производство 878 от 10.02.2026 </t>
  </si>
  <si>
    <t xml:space="preserve">Производство 962 от 11.02.2026 </t>
  </si>
  <si>
    <t>567,71 пм ПФ</t>
  </si>
  <si>
    <t>заказ У515</t>
  </si>
  <si>
    <t>OCHV 540г/кв.м, ш.2.2 Ткань</t>
  </si>
  <si>
    <t>1700пм</t>
  </si>
  <si>
    <t>1745,97 пм ПФ</t>
  </si>
  <si>
    <t xml:space="preserve">Пряжа хб 20/1 30текс №1001 </t>
  </si>
  <si>
    <t>75/20 эластан</t>
  </si>
  <si>
    <t xml:space="preserve">Производство 2 от 08.01.2026 </t>
  </si>
  <si>
    <t xml:space="preserve">Производство 4 от 14.01.2026 </t>
  </si>
  <si>
    <t xml:space="preserve">Производство 22 от 30.01.2026 </t>
  </si>
  <si>
    <t xml:space="preserve">Производство 30 от 02.02.2026 </t>
  </si>
  <si>
    <t xml:space="preserve">Производство 34 от 03.02.2026 </t>
  </si>
  <si>
    <t xml:space="preserve">Производство 40 от 04.02.2026 </t>
  </si>
  <si>
    <t xml:space="preserve">Производство 46 от 05.02.2026 </t>
  </si>
  <si>
    <t xml:space="preserve">Производство 52 от 06.02.2026 </t>
  </si>
  <si>
    <t xml:space="preserve">Производство 72 от 09.02.2026 </t>
  </si>
  <si>
    <t xml:space="preserve">Производство 92 от 10.02.2026 </t>
  </si>
  <si>
    <t>56,99 кг потратили на самом деле</t>
  </si>
  <si>
    <t>заказ 134 и 159</t>
  </si>
  <si>
    <t>Border 220г/кв.м, ш.2.2 Ткань</t>
  </si>
  <si>
    <t>1115,52 ПФ</t>
  </si>
  <si>
    <t>ГП</t>
  </si>
  <si>
    <t>Амур 250 г/кв.м, ш.2.2 Ткань</t>
  </si>
  <si>
    <t>11,1 ГП</t>
  </si>
  <si>
    <t>11,49 ПФ</t>
  </si>
  <si>
    <t>19 текс</t>
  </si>
  <si>
    <t>Нить 150D/48F №269</t>
  </si>
  <si>
    <t xml:space="preserve">Производство 918 от 10.02.2026 </t>
  </si>
  <si>
    <t xml:space="preserve">Производство 981 от 11.02.2026 </t>
  </si>
  <si>
    <t xml:space="preserve">Производство 1014 от 12.02.2026 </t>
  </si>
  <si>
    <t xml:space="preserve">Производство 1045 от 13.02.2026 </t>
  </si>
  <si>
    <t xml:space="preserve">Производство 1071 от 16.02.2026 </t>
  </si>
  <si>
    <t xml:space="preserve">Производство 864 от 09.02.2026 </t>
  </si>
  <si>
    <t>заказ 197</t>
  </si>
  <si>
    <t>596,05 пм ПФ</t>
  </si>
  <si>
    <t xml:space="preserve">Производство 1015 от 12.02.2026 </t>
  </si>
  <si>
    <t xml:space="preserve">Производство 1043 от 13.02.2026 </t>
  </si>
  <si>
    <t xml:space="preserve">Производство 1089 от 16.02.2026 </t>
  </si>
  <si>
    <t>заказ 131</t>
  </si>
  <si>
    <t>1622,98 пм ПФ</t>
  </si>
  <si>
    <t xml:space="preserve">900dne </t>
  </si>
  <si>
    <t xml:space="preserve">150dne суровая ТУРЦИЯ </t>
  </si>
  <si>
    <t xml:space="preserve">Производство 980 от 11.02.2026 </t>
  </si>
  <si>
    <t xml:space="preserve">Производство 1012 от 12.02.2026 </t>
  </si>
  <si>
    <t xml:space="preserve">Производство 1016 от 13.02.2026 </t>
  </si>
  <si>
    <t xml:space="preserve">Производство 1121 от 16.02.2026 </t>
  </si>
  <si>
    <t xml:space="preserve">Производство 1171 от 17.02.2026 </t>
  </si>
  <si>
    <t xml:space="preserve">Производство 1195 от 18.02.2026 </t>
  </si>
  <si>
    <t xml:space="preserve">Производство 1239 от 19.02.2026 </t>
  </si>
  <si>
    <t>заказ 214</t>
  </si>
  <si>
    <t>Sots W-B 240 г/кв.м, ш.2.1 Ткань</t>
  </si>
  <si>
    <t>1087,98 пм ПФ</t>
  </si>
  <si>
    <t xml:space="preserve">Трилобал черный </t>
  </si>
  <si>
    <t>Пряжа 20 текс</t>
  </si>
  <si>
    <t xml:space="preserve">Производство 1147 от 17.02.2026 </t>
  </si>
  <si>
    <t xml:space="preserve">Производство 1188 от 18.02.2026 </t>
  </si>
  <si>
    <t xml:space="preserve">Производство 1268 от 19.02.2026 </t>
  </si>
  <si>
    <t xml:space="preserve">Производство 1359 от 24.02.2026 </t>
  </si>
  <si>
    <t xml:space="preserve">Производство 1367 от 25.02.2026 </t>
  </si>
  <si>
    <t>заказ 215</t>
  </si>
  <si>
    <t>WS square 240 г/кв.м, ш.2.1 Ткань</t>
  </si>
  <si>
    <t>2245,88пм ПФ</t>
  </si>
  <si>
    <t xml:space="preserve">Производство 1172 от 17.02.2026 </t>
  </si>
  <si>
    <t xml:space="preserve">Производство 1233 от 18.02.2026 </t>
  </si>
  <si>
    <t xml:space="preserve">Производство 1264 от 19.02.2026 </t>
  </si>
  <si>
    <t xml:space="preserve">Производство 1353 от 24.02.2026 </t>
  </si>
  <si>
    <t xml:space="preserve">Производство 1360 от 25.02.2026 </t>
  </si>
  <si>
    <t xml:space="preserve">Производство 1384 от 26.02.2026 </t>
  </si>
  <si>
    <t xml:space="preserve">Производство 1426 от 27.02.2026 </t>
  </si>
  <si>
    <t xml:space="preserve">Производство 1465 от 28.02.2026 </t>
  </si>
  <si>
    <t xml:space="preserve">Производство 1466 от 01.03.2026 </t>
  </si>
  <si>
    <t>заказ У514</t>
  </si>
  <si>
    <t>OCHL blue-2 280 г/кв.м, ш.2.2 Ткань</t>
  </si>
  <si>
    <t>1200пм</t>
  </si>
  <si>
    <t>Нить 170D/48F №185</t>
  </si>
  <si>
    <t>Нить 150D/48F №13</t>
  </si>
  <si>
    <t>600dne Турция</t>
  </si>
  <si>
    <t>755,85пм ПФ</t>
  </si>
  <si>
    <t xml:space="preserve">Производство 148 от 27.02.2026 </t>
  </si>
  <si>
    <t xml:space="preserve">Производство 149 от 28.02.2026 </t>
  </si>
  <si>
    <t xml:space="preserve">Производство 157 от 01.03.2026 </t>
  </si>
  <si>
    <t xml:space="preserve">Производство 159 от 02.03.2026 </t>
  </si>
  <si>
    <t xml:space="preserve">Производство 170 от 03.03.2026 </t>
  </si>
  <si>
    <t>заказ У513</t>
  </si>
  <si>
    <t>OCHL blue 280 г/кв.м, ш.2.2 Ткань</t>
  </si>
  <si>
    <t>1309,12пм ПФ</t>
  </si>
  <si>
    <t xml:space="preserve">600dne Турция </t>
  </si>
  <si>
    <t>Нить 150D/48F №125</t>
  </si>
  <si>
    <t xml:space="preserve">Производство 169 от 02.03.2026 </t>
  </si>
  <si>
    <t xml:space="preserve">Производство 177 от 03.03.2026 </t>
  </si>
  <si>
    <t xml:space="preserve">Производство 193 от 04.03.2026 </t>
  </si>
  <si>
    <t xml:space="preserve">Производство 213 от 05.03.2026 </t>
  </si>
  <si>
    <t xml:space="preserve">Производство 222 от 06.03.2026 </t>
  </si>
  <si>
    <t xml:space="preserve">Производство 252 от 07.03.2026 </t>
  </si>
  <si>
    <t xml:space="preserve">Производство 257 от 08.03.2026 </t>
  </si>
  <si>
    <t>заказ У56</t>
  </si>
  <si>
    <t>Пряжа вискоза 100% 20текс</t>
  </si>
  <si>
    <t xml:space="preserve">Метанить Турция </t>
  </si>
  <si>
    <t>Трилобал серо-голубой</t>
  </si>
  <si>
    <t xml:space="preserve">Производство 145 от 26.02.2026 </t>
  </si>
  <si>
    <t xml:space="preserve">Производство 146 от 27.02.2026 </t>
  </si>
  <si>
    <t xml:space="preserve">Производство 153 от 01.03.2026 </t>
  </si>
  <si>
    <t xml:space="preserve">Производство 165 от 02.03.2026 </t>
  </si>
  <si>
    <t xml:space="preserve">Производство 172 от 03.03.2026 </t>
  </si>
  <si>
    <t xml:space="preserve">Производство 197 от 04.03.2026 </t>
  </si>
  <si>
    <t xml:space="preserve">Производство 199 от 05.03.2026 </t>
  </si>
  <si>
    <t xml:space="preserve">Производство 250 от 06.03.2026 </t>
  </si>
  <si>
    <t xml:space="preserve">Производство 255 от 07.03.2026 </t>
  </si>
  <si>
    <t xml:space="preserve">Производство 258 от 08.03.2026 </t>
  </si>
  <si>
    <t xml:space="preserve">Производство 259 от 09.03.2026 </t>
  </si>
  <si>
    <t xml:space="preserve">Производство 261 от 10.03.2026 </t>
  </si>
  <si>
    <t>итого -129%</t>
  </si>
  <si>
    <t>заказ 287</t>
  </si>
  <si>
    <t>589,63пм ПФ</t>
  </si>
  <si>
    <t>Нить 3603 черн</t>
  </si>
  <si>
    <t xml:space="preserve">Производство 1684 от 09.03.2026 </t>
  </si>
  <si>
    <t xml:space="preserve">Производство 1701 от 10.03.2026 </t>
  </si>
  <si>
    <t xml:space="preserve">Производство 1727 от 11.03.2026 </t>
  </si>
  <si>
    <t xml:space="preserve">Производство 1750 от 12.03.2026 </t>
  </si>
  <si>
    <t>заказ 327</t>
  </si>
  <si>
    <t>Философия SB blue 230г/кв.м, ш.2.20 м Ткань</t>
  </si>
  <si>
    <t>700пм</t>
  </si>
  <si>
    <t>710,34пм ПФ</t>
  </si>
  <si>
    <t>Нить 150D/48F №89blue</t>
  </si>
  <si>
    <t xml:space="preserve">Производство 1728 от 11.03.2026 </t>
  </si>
  <si>
    <t xml:space="preserve">Производство 1751 от 12.03.2026 </t>
  </si>
  <si>
    <t xml:space="preserve">Производство 1775 от 13.03.2026 </t>
  </si>
  <si>
    <t>заказ 132</t>
  </si>
  <si>
    <t>Sonberry 300гр/м2 ш.2,2м серый (с пряжей) Ткань</t>
  </si>
  <si>
    <t>1123,98пм ПФ</t>
  </si>
  <si>
    <t>Пряжа 25текс</t>
  </si>
  <si>
    <t>Нить 150D/48F №246grey Турция</t>
  </si>
  <si>
    <t xml:space="preserve">Производство 1753 от 12.03.2026 </t>
  </si>
  <si>
    <t xml:space="preserve">Производство 1776 от 13.03.2026 </t>
  </si>
  <si>
    <t xml:space="preserve">Производство 1819 от 16.03.2026 </t>
  </si>
  <si>
    <t xml:space="preserve">Производство 1854 от 17.03.2026 </t>
  </si>
  <si>
    <t xml:space="preserve">Производство 1860 от 18.03.2026 </t>
  </si>
  <si>
    <t xml:space="preserve">Производство 1966 от 19.03.2026 </t>
  </si>
  <si>
    <t>заказ 281, 346, 353</t>
  </si>
  <si>
    <t>1779,47пм ПФ</t>
  </si>
  <si>
    <t xml:space="preserve">Производство 1678 от 07.03.2026 </t>
  </si>
  <si>
    <t xml:space="preserve">Производство 1679 от 08.03.2026 </t>
  </si>
  <si>
    <t xml:space="preserve">Производство 1682 от 09.03.2026 </t>
  </si>
  <si>
    <t xml:space="preserve">Производство 1710 от 10.03.2026 </t>
  </si>
  <si>
    <t xml:space="preserve">Производство 1726 от 11.03.2026 </t>
  </si>
  <si>
    <t xml:space="preserve">Производство 1737 от 12.03.2026 </t>
  </si>
  <si>
    <t xml:space="preserve">Производство 1770 от 12.03.2026 </t>
  </si>
  <si>
    <t xml:space="preserve">Производство 1778 от 13.03.2026 </t>
  </si>
  <si>
    <t xml:space="preserve">Производство 1815 от 16.03.2026 </t>
  </si>
  <si>
    <t xml:space="preserve">Производство 1839 от 17.03.2026 </t>
  </si>
  <si>
    <t xml:space="preserve">Производство 1852 от 17.03.2026 </t>
  </si>
  <si>
    <t xml:space="preserve">Производство 1861 от 18.03.2026 </t>
  </si>
  <si>
    <t xml:space="preserve">Производство 1905 от 19.03.2026 </t>
  </si>
  <si>
    <t xml:space="preserve">300dne </t>
  </si>
  <si>
    <t>Эластан</t>
  </si>
  <si>
    <t>Вискоза 29текс</t>
  </si>
  <si>
    <t>Нить 212 Белор</t>
  </si>
  <si>
    <t>Нить 212 Китай</t>
  </si>
  <si>
    <t>619,62пм</t>
  </si>
  <si>
    <t>Пересчет норм на ГП (кг/пм)</t>
  </si>
  <si>
    <t>трилобал неокр</t>
  </si>
  <si>
    <t>заказ 129</t>
  </si>
  <si>
    <t>Galaxy (beige) 320гр/м2, ш.2,2 м Ткань</t>
  </si>
  <si>
    <t>1119,05 пм ПФ</t>
  </si>
  <si>
    <t xml:space="preserve">Нить 150D/48F №243 бежев </t>
  </si>
  <si>
    <t>Пряжа 29,4текс</t>
  </si>
  <si>
    <t xml:space="preserve">Производство 1306 от 24.02.2026 </t>
  </si>
  <si>
    <t xml:space="preserve">Производство 1381 от 25.02.2026 </t>
  </si>
  <si>
    <t xml:space="preserve">Производство 1441 от 27.02.2026 </t>
  </si>
  <si>
    <t xml:space="preserve">Производство 1932 от 19.03.2026 </t>
  </si>
  <si>
    <t xml:space="preserve">Производство 2009 от 20.03.2026 </t>
  </si>
  <si>
    <t xml:space="preserve">Производство 2019 от 23.03.2026 </t>
  </si>
  <si>
    <t>заказ 229</t>
  </si>
  <si>
    <t>Интенс серый (Intense grey) 295гр/м2 ш.2,2м Ткань</t>
  </si>
  <si>
    <t>1662,25 пм ПФ</t>
  </si>
  <si>
    <t>Нить 18,8текс №230</t>
  </si>
  <si>
    <t>НОРМЫ ПФ</t>
  </si>
  <si>
    <t xml:space="preserve">Производство 1935 от 19.03.2026 </t>
  </si>
  <si>
    <t xml:space="preserve">Производство 1994 от 20.03.2026 </t>
  </si>
  <si>
    <t xml:space="preserve">Производство 2026 от 23.03.2026 </t>
  </si>
  <si>
    <t xml:space="preserve">Производство 2066 от 24.03.2026 </t>
  </si>
  <si>
    <t xml:space="preserve">Производство 2081 от 25.03.2026 </t>
  </si>
  <si>
    <t xml:space="preserve">Производство 2084 от 26.03.2026 </t>
  </si>
  <si>
    <t xml:space="preserve">Производство 2111 от 27.03.2026 </t>
  </si>
  <si>
    <t xml:space="preserve">Производство 2119 от 28.03.2026 </t>
  </si>
  <si>
    <t>заказ 263</t>
  </si>
  <si>
    <t>Линоплко (Linoplco) 260г/кв.м, ш.2.2 Ткань</t>
  </si>
  <si>
    <t>565,73 пм ПФ</t>
  </si>
  <si>
    <t>Пряжа (хл-виск-лен) 20текс</t>
  </si>
  <si>
    <t xml:space="preserve">300dne Турция </t>
  </si>
  <si>
    <t>Трилобал неокраш</t>
  </si>
  <si>
    <t xml:space="preserve">Производство 2064 от 24.03.2026 </t>
  </si>
  <si>
    <t xml:space="preserve">Производство 2076 от 25.03.2026 </t>
  </si>
  <si>
    <t xml:space="preserve">Производство 2106 от 26.03.2026 </t>
  </si>
  <si>
    <t>Три нитки использовались на 2 заказа, поэтому нормы приблизительные</t>
  </si>
  <si>
    <t>заказ 387</t>
  </si>
  <si>
    <t>ОДГ (ODG) -1125 280г/кв.м, ш.2.2 Ткань</t>
  </si>
  <si>
    <t>880,77 пм ПФ</t>
  </si>
  <si>
    <t xml:space="preserve">Производство 2110 от 27.03.2026 </t>
  </si>
  <si>
    <t xml:space="preserve">Производство 2123 от 28.03.2026 </t>
  </si>
  <si>
    <t xml:space="preserve">Производство 2126 от 29.03.2026 </t>
  </si>
  <si>
    <t xml:space="preserve">Производство 2133 от 30.03.2026 </t>
  </si>
  <si>
    <t>заказ 316</t>
  </si>
  <si>
    <t>Ромб серый 240 г/кв.м, ш.2.1 Ткань</t>
  </si>
  <si>
    <t>20800пм</t>
  </si>
  <si>
    <t>2199,74 пм ПФ</t>
  </si>
  <si>
    <t xml:space="preserve">Производство 2048 от 23.03.2026 </t>
  </si>
  <si>
    <t xml:space="preserve">Производство 2050 от 24.03.2026 </t>
  </si>
  <si>
    <t xml:space="preserve">Производство 2069 от 25.03.2026 </t>
  </si>
  <si>
    <t xml:space="preserve">Производство 2091 от 26.03.2026 </t>
  </si>
  <si>
    <t xml:space="preserve">Производство 2108 от 27.03.2026 </t>
  </si>
  <si>
    <t xml:space="preserve">Производство 2122 от 28.03.2026 </t>
  </si>
  <si>
    <t xml:space="preserve">Производство 2125 от 29.03.2026 </t>
  </si>
  <si>
    <t xml:space="preserve">Производство 2151 от 30.03.2026 </t>
  </si>
  <si>
    <t xml:space="preserve">Производство 2155 от 31.03.2026 </t>
  </si>
  <si>
    <t xml:space="preserve">Производство 2165 от 01.04.2026 </t>
  </si>
  <si>
    <t xml:space="preserve">Производство 2215 от 02.04.2026 </t>
  </si>
  <si>
    <t>999,75пм</t>
  </si>
  <si>
    <t>заказ У78</t>
  </si>
  <si>
    <t>OCH серый 290 г/кв.м, ш.2.2 Ткань</t>
  </si>
  <si>
    <t>562,56 пм ПФ</t>
  </si>
  <si>
    <t>Нить 3603 черная</t>
  </si>
  <si>
    <t>Меланж 25текс (б+ч)</t>
  </si>
  <si>
    <t xml:space="preserve">Производство 327 от 29.03.2026 </t>
  </si>
  <si>
    <t xml:space="preserve">Производство 328 от 30.03.2026 </t>
  </si>
  <si>
    <t xml:space="preserve">Производство 336 от 31.03.2026 </t>
  </si>
  <si>
    <t>637,41пм</t>
  </si>
  <si>
    <t>заказ 380</t>
  </si>
  <si>
    <t>К06КЗ (K06KZ) 240г/кв.м, ш.2.2 Ткань</t>
  </si>
  <si>
    <t>556,3 пм ПФ</t>
  </si>
  <si>
    <t>Нить 150D/48F №149</t>
  </si>
  <si>
    <t xml:space="preserve">Производство 2162 от 01.04.2026 </t>
  </si>
  <si>
    <t xml:space="preserve">Производство 2214 от 02.04.2026 </t>
  </si>
  <si>
    <t>1810,24пм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</si>
</sst>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#,##0.000"/>
  </numFmts>
  <fonts count="1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name val="Arial"/>
    </font>
    <font>
      <b/>
      <sz val="9"/>
      <name val="Arial"/>
    </font>
    <font>
      <sz val="11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9"/>
      <color theme="1"/>
      <name val="Calibri"/>
      <family val="2"/>
      <charset val="204"/>
      <scheme val="minor"/>
    </font>
    <font>
      <i/>
      <u/>
      <sz val="11"/>
      <color theme="1"/>
      <name val="Calibri"/>
      <family val="2"/>
      <charset val="204"/>
      <scheme val="minor"/>
    </font>
    <font>
      <b/>
      <i/>
      <u/>
      <sz val="11"/>
      <color theme="1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0"/>
      </bottom>
      <diagonal/>
    </border>
    <border>
      <left/>
      <right/>
      <top style="medium">
        <color indexed="6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00">
    <xf numFmtId="0" fontId="0" fillId="0" borderId="0" xfId="0"/>
    <xf numFmtId="164" fontId="2" fillId="0" borderId="1" xfId="1" applyNumberFormat="1" applyFont="1" applyBorder="1" applyAlignment="1">
      <alignment horizontal="right" vertical="top"/>
    </xf>
    <xf numFmtId="165" fontId="3" fillId="0" borderId="2" xfId="1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2" fillId="0" borderId="1" xfId="2" applyNumberFormat="1" applyFont="1" applyBorder="1" applyAlignment="1">
      <alignment horizontal="right" vertical="top"/>
    </xf>
    <xf numFmtId="0" fontId="4" fillId="0" borderId="3" xfId="0" applyFont="1" applyBorder="1" applyAlignment="1">
      <alignment horizontal="center" wrapText="1"/>
    </xf>
    <xf numFmtId="0" fontId="5" fillId="0" borderId="0" xfId="0" applyFont="1"/>
    <xf numFmtId="0" fontId="4" fillId="0" borderId="0" xfId="0" applyFont="1" applyAlignment="1">
      <alignment horizontal="center"/>
    </xf>
    <xf numFmtId="164" fontId="6" fillId="0" borderId="1" xfId="3" applyNumberFormat="1" applyFont="1" applyBorder="1" applyAlignment="1">
      <alignment horizontal="right" vertical="top"/>
    </xf>
    <xf numFmtId="165" fontId="7" fillId="0" borderId="2" xfId="3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164" fontId="6" fillId="0" borderId="1" xfId="4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164" fontId="6" fillId="0" borderId="1" xfId="5" applyNumberFormat="1" applyFont="1" applyBorder="1" applyAlignment="1">
      <alignment horizontal="right" vertical="top"/>
    </xf>
    <xf numFmtId="165" fontId="6" fillId="0" borderId="1" xfId="5" applyNumberFormat="1" applyFont="1" applyBorder="1" applyAlignment="1">
      <alignment horizontal="right" vertical="top"/>
    </xf>
    <xf numFmtId="0" fontId="6" fillId="0" borderId="1" xfId="5" applyNumberFormat="1" applyFont="1" applyBorder="1" applyAlignment="1">
      <alignment vertical="top"/>
    </xf>
    <xf numFmtId="0" fontId="4" fillId="0" borderId="0" xfId="0" applyFont="1" applyAlignment="1">
      <alignment horizontal="center"/>
    </xf>
    <xf numFmtId="164" fontId="6" fillId="0" borderId="1" xfId="6" applyNumberFormat="1" applyFont="1" applyBorder="1" applyAlignment="1">
      <alignment horizontal="right" vertical="top"/>
    </xf>
    <xf numFmtId="164" fontId="6" fillId="0" borderId="1" xfId="7" applyNumberFormat="1" applyFont="1" applyBorder="1" applyAlignment="1">
      <alignment horizontal="right" vertical="top"/>
    </xf>
    <xf numFmtId="164" fontId="0" fillId="0" borderId="0" xfId="0" applyNumberFormat="1"/>
    <xf numFmtId="0" fontId="4" fillId="0" borderId="0" xfId="0" applyFont="1" applyAlignment="1">
      <alignment horizontal="center"/>
    </xf>
    <xf numFmtId="164" fontId="6" fillId="0" borderId="1" xfId="8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164" fontId="6" fillId="0" borderId="1" xfId="10" applyNumberFormat="1" applyFont="1" applyBorder="1" applyAlignment="1">
      <alignment horizontal="right" vertical="top"/>
    </xf>
    <xf numFmtId="164" fontId="6" fillId="0" borderId="1" xfId="11" applyNumberFormat="1" applyFont="1" applyBorder="1" applyAlignment="1">
      <alignment horizontal="right" vertical="top"/>
    </xf>
    <xf numFmtId="164" fontId="6" fillId="0" borderId="1" xfId="12" applyNumberFormat="1" applyFont="1" applyBorder="1" applyAlignment="1">
      <alignment horizontal="right" vertical="top"/>
    </xf>
    <xf numFmtId="9" fontId="4" fillId="0" borderId="0" xfId="9" applyFont="1" applyAlignment="1">
      <alignment horizontal="center"/>
    </xf>
    <xf numFmtId="0" fontId="4" fillId="0" borderId="0" xfId="0" applyFont="1" applyAlignment="1">
      <alignment horizontal="center"/>
    </xf>
    <xf numFmtId="164" fontId="6" fillId="0" borderId="1" xfId="13" applyNumberFormat="1" applyFont="1" applyBorder="1" applyAlignment="1">
      <alignment horizontal="right" vertical="top"/>
    </xf>
    <xf numFmtId="0" fontId="4" fillId="0" borderId="0" xfId="0" applyFont="1"/>
    <xf numFmtId="0" fontId="4" fillId="0" borderId="0" xfId="0" applyFont="1" applyAlignment="1">
      <alignment horizontal="center"/>
    </xf>
    <xf numFmtId="164" fontId="6" fillId="0" borderId="1" xfId="14" applyNumberFormat="1" applyFont="1" applyBorder="1" applyAlignment="1">
      <alignment horizontal="right" vertical="top"/>
    </xf>
    <xf numFmtId="0" fontId="9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164" fontId="6" fillId="0" borderId="1" xfId="15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0" fontId="6" fillId="0" borderId="1" xfId="16" applyNumberFormat="1" applyFont="1" applyBorder="1" applyAlignment="1">
      <alignment vertical="top" wrapText="1" indent="2"/>
    </xf>
    <xf numFmtId="164" fontId="6" fillId="0" borderId="1" xfId="16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164" fontId="6" fillId="0" borderId="1" xfId="17" applyNumberFormat="1" applyFont="1" applyBorder="1" applyAlignment="1">
      <alignment horizontal="right" vertical="top"/>
    </xf>
    <xf numFmtId="165" fontId="6" fillId="0" borderId="1" xfId="17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4" fillId="0" borderId="3" xfId="0" applyFont="1" applyBorder="1" applyAlignment="1">
      <alignment horizontal="center" vertical="center"/>
    </xf>
    <xf numFmtId="164" fontId="6" fillId="0" borderId="1" xfId="18" applyNumberFormat="1" applyFont="1" applyBorder="1" applyAlignment="1">
      <alignment horizontal="right" vertical="top"/>
    </xf>
    <xf numFmtId="9" fontId="4" fillId="0" borderId="0" xfId="9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6" fillId="0" borderId="1" xfId="19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64" fontId="6" fillId="0" borderId="1" xfId="20" applyNumberFormat="1" applyFont="1" applyBorder="1" applyAlignment="1">
      <alignment horizontal="right" vertical="top"/>
    </xf>
    <xf numFmtId="165" fontId="6" fillId="0" borderId="1" xfId="20" applyNumberFormat="1" applyFont="1" applyBorder="1" applyAlignment="1">
      <alignment horizontal="right" vertical="top"/>
    </xf>
    <xf numFmtId="164" fontId="6" fillId="0" borderId="1" xfId="21" applyNumberFormat="1" applyFont="1" applyBorder="1" applyAlignment="1">
      <alignment horizontal="right" vertical="top"/>
    </xf>
    <xf numFmtId="164" fontId="6" fillId="0" borderId="1" xfId="22" applyNumberFormat="1" applyFont="1" applyBorder="1" applyAlignment="1">
      <alignment horizontal="right" vertical="top"/>
    </xf>
    <xf numFmtId="164" fontId="2" fillId="0" borderId="1" xfId="23" applyNumberFormat="1" applyFont="1" applyBorder="1" applyAlignment="1">
      <alignment horizontal="right" vertical="top"/>
    </xf>
    <xf numFmtId="164" fontId="2" fillId="0" borderId="1" xfId="24" applyNumberFormat="1" applyFont="1" applyBorder="1" applyAlignment="1">
      <alignment horizontal="right" vertical="top"/>
    </xf>
    <xf numFmtId="164" fontId="2" fillId="0" borderId="1" xfId="25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4" fillId="2" borderId="0" xfId="0" applyFont="1" applyFill="1" applyAlignment="1">
      <alignment horizontal="center"/>
    </xf>
    <xf numFmtId="164" fontId="6" fillId="0" borderId="1" xfId="26" applyNumberFormat="1" applyFont="1" applyBorder="1" applyAlignment="1">
      <alignment horizontal="right" vertical="top"/>
    </xf>
    <xf numFmtId="165" fontId="3" fillId="2" borderId="2" xfId="1" applyNumberFormat="1" applyFont="1" applyFill="1" applyBorder="1" applyAlignment="1">
      <alignment horizontal="right" vertical="top"/>
    </xf>
    <xf numFmtId="0" fontId="4" fillId="0" borderId="0" xfId="0" applyFont="1" applyAlignment="1">
      <alignment horizontal="center"/>
    </xf>
    <xf numFmtId="164" fontId="6" fillId="0" borderId="1" xfId="27" applyNumberFormat="1" applyFont="1" applyBorder="1" applyAlignment="1">
      <alignment horizontal="right" vertical="top"/>
    </xf>
    <xf numFmtId="164" fontId="6" fillId="0" borderId="1" xfId="28" applyNumberFormat="1" applyFont="1" applyBorder="1" applyAlignment="1">
      <alignment horizontal="right" vertical="top"/>
    </xf>
    <xf numFmtId="164" fontId="6" fillId="0" borderId="1" xfId="29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164" fontId="6" fillId="0" borderId="1" xfId="30" applyNumberFormat="1" applyFont="1" applyBorder="1" applyAlignment="1">
      <alignment horizontal="right" vertical="top"/>
    </xf>
    <xf numFmtId="164" fontId="6" fillId="0" borderId="1" xfId="31" applyNumberFormat="1" applyFont="1" applyBorder="1" applyAlignment="1">
      <alignment horizontal="right" vertical="top"/>
    </xf>
    <xf numFmtId="165" fontId="3" fillId="3" borderId="2" xfId="1" applyNumberFormat="1" applyFont="1" applyFill="1" applyBorder="1" applyAlignment="1">
      <alignment horizontal="right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165" fontId="3" fillId="0" borderId="2" xfId="1" applyNumberFormat="1" applyFont="1" applyFill="1" applyBorder="1" applyAlignment="1">
      <alignment horizontal="right" vertical="top"/>
    </xf>
    <xf numFmtId="164" fontId="6" fillId="0" borderId="1" xfId="33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164" fontId="6" fillId="0" borderId="1" xfId="34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164" fontId="6" fillId="0" borderId="1" xfId="35" applyNumberFormat="1" applyFont="1" applyBorder="1" applyAlignment="1">
      <alignment horizontal="right" vertical="top"/>
    </xf>
    <xf numFmtId="0" fontId="4" fillId="4" borderId="0" xfId="0" applyFont="1" applyFill="1"/>
    <xf numFmtId="164" fontId="6" fillId="0" borderId="1" xfId="36" applyNumberFormat="1" applyFont="1" applyBorder="1" applyAlignment="1">
      <alignment horizontal="right" vertical="top"/>
    </xf>
    <xf numFmtId="14" fontId="0" fillId="0" borderId="0" xfId="0" applyNumberFormat="1"/>
    <xf numFmtId="0" fontId="0" fillId="2" borderId="0" xfId="0" applyFill="1"/>
    <xf numFmtId="164" fontId="6" fillId="0" borderId="1" xfId="37" applyNumberFormat="1" applyFont="1" applyBorder="1" applyAlignment="1">
      <alignment horizontal="right" vertical="top"/>
    </xf>
    <xf numFmtId="0" fontId="11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6" fillId="0" borderId="1" xfId="38" applyNumberFormat="1" applyFont="1" applyBorder="1" applyAlignment="1">
      <alignment horizontal="right" vertical="top"/>
    </xf>
    <xf numFmtId="164" fontId="6" fillId="0" borderId="1" xfId="39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164" fontId="6" fillId="0" borderId="1" xfId="40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164" fontId="6" fillId="0" borderId="1" xfId="41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164" fontId="6" fillId="0" borderId="1" xfId="42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164" fontId="6" fillId="0" borderId="1" xfId="43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164" fontId="6" fillId="0" borderId="1" xfId="44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164" fontId="6" fillId="0" borderId="1" xfId="45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164" fontId="2" fillId="0" borderId="1" xfId="46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164" fontId="6" fillId="0" borderId="1" xfId="47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center" vertical="center" wrapText="1"/>
    </xf>
    <xf numFmtId="164" fontId="2" fillId="0" borderId="1" xfId="48" applyNumberFormat="1" applyFont="1" applyBorder="1" applyAlignment="1">
      <alignment horizontal="right" vertical="top"/>
    </xf>
    <xf numFmtId="164" fontId="2" fillId="0" borderId="1" xfId="49" applyNumberFormat="1" applyFont="1" applyBorder="1" applyAlignment="1">
      <alignment horizontal="right" vertical="top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0" fillId="0" borderId="5" xfId="0" applyBorder="1"/>
    <xf numFmtId="0" fontId="4" fillId="0" borderId="0" xfId="0" applyFont="1" applyAlignment="1">
      <alignment horizontal="center"/>
    </xf>
    <xf numFmtId="164" fontId="6" fillId="0" borderId="1" xfId="50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9" fontId="4" fillId="0" borderId="5" xfId="9" applyFont="1" applyBorder="1" applyAlignment="1">
      <alignment horizontal="center"/>
    </xf>
    <xf numFmtId="164" fontId="2" fillId="0" borderId="1" xfId="51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164" fontId="6" fillId="0" borderId="1" xfId="52" applyNumberFormat="1" applyFont="1" applyBorder="1" applyAlignment="1">
      <alignment horizontal="right" vertical="top"/>
    </xf>
    <xf numFmtId="0" fontId="0" fillId="5" borderId="5" xfId="0" applyFill="1" applyBorder="1"/>
    <xf numFmtId="164" fontId="2" fillId="0" borderId="1" xfId="53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0" fontId="0" fillId="0" borderId="5" xfId="0" applyFill="1" applyBorder="1"/>
    <xf numFmtId="164" fontId="6" fillId="0" borderId="1" xfId="54" applyNumberFormat="1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0" fontId="0" fillId="6" borderId="5" xfId="0" applyFill="1" applyBorder="1"/>
    <xf numFmtId="164" fontId="6" fillId="0" borderId="1" xfId="55" applyNumberFormat="1" applyFont="1" applyBorder="1" applyAlignment="1">
      <alignment horizontal="right" vertical="top"/>
    </xf>
    <xf numFmtId="164" fontId="6" fillId="0" borderId="1" xfId="56" applyNumberFormat="1" applyFont="1" applyBorder="1" applyAlignment="1">
      <alignment horizontal="right" vertical="top"/>
    </xf>
    <xf numFmtId="0" fontId="3" fillId="0" borderId="2" xfId="1" applyNumberFormat="1" applyFont="1" applyBorder="1" applyAlignment="1">
      <alignment vertical="top"/>
    </xf>
    <xf numFmtId="0" fontId="4" fillId="0" borderId="0" xfId="0" applyFont="1" applyAlignment="1">
      <alignment horizontal="center"/>
    </xf>
    <xf numFmtId="0" fontId="2" fillId="0" borderId="1" xfId="1" applyNumberFormat="1" applyFont="1" applyBorder="1" applyAlignment="1">
      <alignment vertical="top" wrapText="1" indent="2"/>
    </xf>
    <xf numFmtId="0" fontId="2" fillId="0" borderId="1" xfId="2" applyNumberFormat="1" applyFont="1" applyBorder="1" applyAlignment="1">
      <alignment vertical="top" wrapText="1" indent="2"/>
    </xf>
    <xf numFmtId="0" fontId="6" fillId="0" borderId="1" xfId="3" applyNumberFormat="1" applyFont="1" applyBorder="1" applyAlignment="1">
      <alignment vertical="top" wrapText="1" indent="2"/>
    </xf>
    <xf numFmtId="0" fontId="6" fillId="0" borderId="1" xfId="4" applyNumberFormat="1" applyFont="1" applyBorder="1" applyAlignment="1">
      <alignment vertical="top" wrapText="1" indent="2"/>
    </xf>
    <xf numFmtId="0" fontId="6" fillId="0" borderId="1" xfId="5" applyNumberFormat="1" applyFont="1" applyBorder="1" applyAlignment="1">
      <alignment vertical="top" wrapText="1" indent="2"/>
    </xf>
    <xf numFmtId="0" fontId="6" fillId="0" borderId="1" xfId="6" applyNumberFormat="1" applyFont="1" applyBorder="1" applyAlignment="1">
      <alignment vertical="top" wrapText="1" indent="2"/>
    </xf>
    <xf numFmtId="0" fontId="6" fillId="0" borderId="1" xfId="7" applyNumberFormat="1" applyFont="1" applyBorder="1" applyAlignment="1">
      <alignment vertical="top" wrapText="1" indent="2"/>
    </xf>
    <xf numFmtId="0" fontId="6" fillId="0" borderId="1" xfId="8" applyNumberFormat="1" applyFont="1" applyBorder="1" applyAlignment="1">
      <alignment vertical="top" wrapText="1" indent="2"/>
    </xf>
    <xf numFmtId="0" fontId="6" fillId="0" borderId="1" xfId="14" applyNumberFormat="1" applyFont="1" applyBorder="1" applyAlignment="1">
      <alignment vertical="top" wrapText="1" indent="2"/>
    </xf>
    <xf numFmtId="0" fontId="6" fillId="0" borderId="1" xfId="10" applyNumberFormat="1" applyFont="1" applyBorder="1" applyAlignment="1">
      <alignment vertical="top" wrapText="1" indent="2"/>
    </xf>
    <xf numFmtId="0" fontId="6" fillId="0" borderId="1" xfId="11" applyNumberFormat="1" applyFont="1" applyBorder="1" applyAlignment="1">
      <alignment vertical="top" wrapText="1" indent="2"/>
    </xf>
    <xf numFmtId="0" fontId="6" fillId="0" borderId="1" xfId="13" applyNumberFormat="1" applyFont="1" applyBorder="1" applyAlignment="1">
      <alignment vertical="top" wrapText="1" indent="2"/>
    </xf>
    <xf numFmtId="0" fontId="6" fillId="0" borderId="1" xfId="12" applyNumberFormat="1" applyFont="1" applyBorder="1" applyAlignment="1">
      <alignment vertical="top" wrapText="1" indent="2"/>
    </xf>
    <xf numFmtId="0" fontId="6" fillId="0" borderId="1" xfId="16" applyNumberFormat="1" applyFont="1" applyBorder="1" applyAlignment="1">
      <alignment vertical="top" wrapText="1" indent="2"/>
    </xf>
    <xf numFmtId="0" fontId="6" fillId="0" borderId="1" xfId="17" applyNumberFormat="1" applyFont="1" applyBorder="1" applyAlignment="1">
      <alignment vertical="top" wrapText="1" indent="2"/>
    </xf>
    <xf numFmtId="0" fontId="6" fillId="0" borderId="1" xfId="18" applyNumberFormat="1" applyFont="1" applyBorder="1" applyAlignment="1">
      <alignment vertical="top" wrapText="1" indent="2"/>
    </xf>
    <xf numFmtId="0" fontId="6" fillId="0" borderId="1" xfId="19" applyNumberFormat="1" applyFont="1" applyBorder="1" applyAlignment="1">
      <alignment vertical="top" wrapText="1" indent="2"/>
    </xf>
    <xf numFmtId="0" fontId="6" fillId="0" borderId="1" xfId="15" applyNumberFormat="1" applyFont="1" applyBorder="1" applyAlignment="1">
      <alignment vertical="top" wrapText="1" indent="2"/>
    </xf>
    <xf numFmtId="0" fontId="6" fillId="0" borderId="1" xfId="29" applyNumberFormat="1" applyFont="1" applyBorder="1" applyAlignment="1">
      <alignment vertical="top" wrapText="1" indent="2"/>
    </xf>
    <xf numFmtId="0" fontId="6" fillId="0" borderId="1" xfId="20" applyNumberFormat="1" applyFont="1" applyBorder="1" applyAlignment="1">
      <alignment vertical="top" wrapText="1" indent="2"/>
    </xf>
    <xf numFmtId="0" fontId="6" fillId="0" borderId="1" xfId="21" applyNumberFormat="1" applyFont="1" applyBorder="1" applyAlignment="1">
      <alignment vertical="top" wrapText="1" indent="2"/>
    </xf>
    <xf numFmtId="0" fontId="6" fillId="0" borderId="1" xfId="22" applyNumberFormat="1" applyFont="1" applyBorder="1" applyAlignment="1">
      <alignment vertical="top" wrapText="1" indent="2"/>
    </xf>
    <xf numFmtId="0" fontId="2" fillId="0" borderId="1" xfId="23" applyNumberFormat="1" applyFont="1" applyBorder="1" applyAlignment="1">
      <alignment vertical="top" wrapText="1" indent="2"/>
    </xf>
    <xf numFmtId="0" fontId="6" fillId="0" borderId="1" xfId="34" applyNumberFormat="1" applyFont="1" applyBorder="1" applyAlignment="1">
      <alignment vertical="top" wrapText="1" indent="2"/>
    </xf>
    <xf numFmtId="0" fontId="2" fillId="0" borderId="1" xfId="24" applyNumberFormat="1" applyFont="1" applyBorder="1" applyAlignment="1">
      <alignment vertical="top" wrapText="1" indent="2"/>
    </xf>
    <xf numFmtId="0" fontId="2" fillId="0" borderId="1" xfId="25" applyNumberFormat="1" applyFont="1" applyBorder="1" applyAlignment="1">
      <alignment vertical="top" wrapText="1" indent="2"/>
    </xf>
    <xf numFmtId="0" fontId="6" fillId="0" borderId="1" xfId="35" applyNumberFormat="1" applyFont="1" applyBorder="1" applyAlignment="1">
      <alignment vertical="top" wrapText="1" indent="2"/>
    </xf>
    <xf numFmtId="0" fontId="6" fillId="0" borderId="1" xfId="27" applyNumberFormat="1" applyFont="1" applyBorder="1" applyAlignment="1">
      <alignment vertical="top" wrapText="1" indent="2"/>
    </xf>
    <xf numFmtId="0" fontId="6" fillId="0" borderId="1" xfId="26" applyNumberFormat="1" applyFont="1" applyBorder="1" applyAlignment="1">
      <alignment vertical="top" wrapText="1" indent="2"/>
    </xf>
    <xf numFmtId="0" fontId="6" fillId="0" borderId="1" xfId="44" applyNumberFormat="1" applyFont="1" applyBorder="1" applyAlignment="1">
      <alignment vertical="top" wrapText="1" indent="2"/>
    </xf>
    <xf numFmtId="0" fontId="6" fillId="0" borderId="1" xfId="37" applyNumberFormat="1" applyFont="1" applyBorder="1" applyAlignment="1">
      <alignment vertical="top" wrapText="1" indent="2"/>
    </xf>
    <xf numFmtId="0" fontId="6" fillId="0" borderId="1" xfId="43" applyNumberFormat="1" applyFont="1" applyBorder="1" applyAlignment="1">
      <alignment vertical="top" wrapText="1" indent="2"/>
    </xf>
    <xf numFmtId="0" fontId="6" fillId="0" borderId="1" xfId="28" applyNumberFormat="1" applyFont="1" applyBorder="1" applyAlignment="1">
      <alignment vertical="top" wrapText="1" indent="2"/>
    </xf>
    <xf numFmtId="0" fontId="6" fillId="0" borderId="1" xfId="30" applyNumberFormat="1" applyFont="1" applyBorder="1" applyAlignment="1">
      <alignment vertical="top" wrapText="1" indent="2"/>
    </xf>
    <xf numFmtId="0" fontId="6" fillId="0" borderId="4" xfId="28" applyNumberFormat="1" applyFont="1" applyBorder="1" applyAlignment="1">
      <alignment vertical="top" wrapText="1" indent="2"/>
    </xf>
    <xf numFmtId="0" fontId="6" fillId="0" borderId="1" xfId="45" applyNumberFormat="1" applyFont="1" applyBorder="1" applyAlignment="1">
      <alignment vertical="top" wrapText="1" indent="2"/>
    </xf>
    <xf numFmtId="0" fontId="6" fillId="0" borderId="1" xfId="31" applyNumberFormat="1" applyFont="1" applyBorder="1" applyAlignment="1">
      <alignment vertical="top" wrapText="1" indent="2"/>
    </xf>
    <xf numFmtId="0" fontId="6" fillId="0" borderId="1" xfId="50" applyNumberFormat="1" applyFont="1" applyBorder="1" applyAlignment="1">
      <alignment vertical="top" wrapText="1" indent="2"/>
    </xf>
    <xf numFmtId="0" fontId="6" fillId="0" borderId="1" xfId="40" applyNumberFormat="1" applyFont="1" applyBorder="1" applyAlignment="1">
      <alignment vertical="top" wrapText="1" indent="2"/>
    </xf>
    <xf numFmtId="0" fontId="2" fillId="0" borderId="1" xfId="48" applyNumberFormat="1" applyFont="1" applyBorder="1" applyAlignment="1">
      <alignment vertical="top" wrapText="1" indent="2"/>
    </xf>
    <xf numFmtId="0" fontId="6" fillId="0" borderId="1" xfId="42" applyNumberFormat="1" applyFont="1" applyBorder="1" applyAlignment="1">
      <alignment vertical="top" wrapText="1" indent="2"/>
    </xf>
    <xf numFmtId="0" fontId="6" fillId="0" borderId="1" xfId="33" applyNumberFormat="1" applyFont="1" applyBorder="1" applyAlignment="1">
      <alignment vertical="top" wrapText="1" indent="2"/>
    </xf>
    <xf numFmtId="0" fontId="6" fillId="0" borderId="1" xfId="38" applyNumberFormat="1" applyFont="1" applyBorder="1" applyAlignment="1">
      <alignment vertical="top" wrapText="1" indent="2"/>
    </xf>
    <xf numFmtId="0" fontId="6" fillId="0" borderId="1" xfId="32" applyNumberFormat="1" applyFont="1" applyBorder="1" applyAlignment="1">
      <alignment vertical="top" wrapText="1" indent="2"/>
    </xf>
    <xf numFmtId="0" fontId="6" fillId="0" borderId="1" xfId="36" applyNumberFormat="1" applyFont="1" applyBorder="1" applyAlignment="1">
      <alignment vertical="top" wrapText="1" indent="2"/>
    </xf>
    <xf numFmtId="0" fontId="6" fillId="0" borderId="1" xfId="39" applyNumberFormat="1" applyFont="1" applyBorder="1" applyAlignment="1">
      <alignment vertical="top" wrapText="1" indent="2"/>
    </xf>
    <xf numFmtId="0" fontId="6" fillId="0" borderId="1" xfId="41" applyNumberFormat="1" applyFont="1" applyBorder="1" applyAlignment="1">
      <alignment vertical="top" wrapText="1" indent="2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51" applyNumberFormat="1" applyFont="1" applyBorder="1" applyAlignment="1">
      <alignment vertical="top" wrapText="1" indent="2"/>
    </xf>
    <xf numFmtId="0" fontId="6" fillId="0" borderId="1" xfId="52" applyNumberFormat="1" applyFont="1" applyBorder="1" applyAlignment="1">
      <alignment vertical="top" wrapText="1" indent="2"/>
    </xf>
    <xf numFmtId="0" fontId="12" fillId="0" borderId="0" xfId="0" applyFont="1" applyAlignment="1">
      <alignment horizontal="center"/>
    </xf>
    <xf numFmtId="0" fontId="2" fillId="0" borderId="1" xfId="46" applyNumberFormat="1" applyFont="1" applyBorder="1" applyAlignment="1">
      <alignment vertical="top" wrapText="1" indent="2"/>
    </xf>
    <xf numFmtId="0" fontId="6" fillId="0" borderId="1" xfId="54" applyNumberFormat="1" applyFont="1" applyBorder="1" applyAlignment="1">
      <alignment vertical="top" wrapText="1" indent="2"/>
    </xf>
    <xf numFmtId="0" fontId="6" fillId="0" borderId="1" xfId="47" applyNumberFormat="1" applyFont="1" applyBorder="1" applyAlignment="1">
      <alignment vertical="top" wrapText="1" indent="2"/>
    </xf>
    <xf numFmtId="0" fontId="2" fillId="0" borderId="1" xfId="49" applyNumberFormat="1" applyFont="1" applyBorder="1" applyAlignment="1">
      <alignment vertical="top" wrapText="1" indent="2"/>
    </xf>
    <xf numFmtId="0" fontId="6" fillId="0" borderId="1" xfId="56" applyNumberFormat="1" applyFont="1" applyBorder="1" applyAlignment="1">
      <alignment vertical="top" wrapText="1" indent="2"/>
    </xf>
    <xf numFmtId="0" fontId="2" fillId="0" borderId="1" xfId="53" applyNumberFormat="1" applyFont="1" applyBorder="1" applyAlignment="1">
      <alignment vertical="top" wrapText="1" indent="2"/>
    </xf>
    <xf numFmtId="0" fontId="6" fillId="0" borderId="1" xfId="55" applyNumberFormat="1" applyFont="1" applyBorder="1" applyAlignment="1">
      <alignment vertical="top" wrapText="1" indent="2"/>
    </xf>
    <xf numFmtId="0" fontId="13" fillId="0" borderId="0" xfId="0" applyFont="1"/>
  </cellXfs>
  <cellStyles count="57">
    <cellStyle name="Обычный" xfId="0" builtinId="0"/>
    <cellStyle name="Обычный_114" xfId="31"/>
    <cellStyle name="Обычный_129" xfId="50"/>
    <cellStyle name="Обычный_131" xfId="40"/>
    <cellStyle name="Обычный_132" xfId="48"/>
    <cellStyle name="Обычный_133" xfId="33"/>
    <cellStyle name="Обычный_134 и 159" xfId="38"/>
    <cellStyle name="Обычный_137 и 135" xfId="32"/>
    <cellStyle name="Обычный_1650" xfId="5"/>
    <cellStyle name="Обычный_1770" xfId="2"/>
    <cellStyle name="Обычный_1796" xfId="3"/>
    <cellStyle name="Обычный_1801и1802" xfId="4"/>
    <cellStyle name="Обычный_186" xfId="36"/>
    <cellStyle name="Обычный_1872и1926" xfId="7"/>
    <cellStyle name="Обычный_1899" xfId="14"/>
    <cellStyle name="Обычный_1900" xfId="8"/>
    <cellStyle name="Обычный_1932" xfId="10"/>
    <cellStyle name="Обычный_1933" xfId="11"/>
    <cellStyle name="Обычный_1934" xfId="13"/>
    <cellStyle name="Обычный_1947" xfId="12"/>
    <cellStyle name="Обычный_1960" xfId="6"/>
    <cellStyle name="Обычный_1964" xfId="17"/>
    <cellStyle name="Обычный_197" xfId="39"/>
    <cellStyle name="Обычный_2080" xfId="19"/>
    <cellStyle name="Обычный_2086" xfId="15"/>
    <cellStyle name="Обычный_2126" xfId="16"/>
    <cellStyle name="Обычный_214" xfId="41"/>
    <cellStyle name="Обычный_215" xfId="42"/>
    <cellStyle name="Обычный_2162" xfId="18"/>
    <cellStyle name="Обычный_2183" xfId="29"/>
    <cellStyle name="Обычный_2206" xfId="21"/>
    <cellStyle name="Обычный_2222" xfId="23"/>
    <cellStyle name="Обычный_2225" xfId="22"/>
    <cellStyle name="Обычный_2242" xfId="34"/>
    <cellStyle name="Обычный_229" xfId="51"/>
    <cellStyle name="Обычный_2293" xfId="24"/>
    <cellStyle name="Обычный_2333" xfId="25"/>
    <cellStyle name="Обычный_2334" xfId="35"/>
    <cellStyle name="Обычный_2335" xfId="27"/>
    <cellStyle name="Обычный_263" xfId="52"/>
    <cellStyle name="Обычный_287" xfId="46"/>
    <cellStyle name="Обычный_316" xfId="54"/>
    <cellStyle name="Обычный_327" xfId="47"/>
    <cellStyle name="Обычный_380" xfId="56"/>
    <cellStyle name="Обычный_387" xfId="53"/>
    <cellStyle name="Обычный_41" xfId="28"/>
    <cellStyle name="Обычный_52 и 104" xfId="30"/>
    <cellStyle name="Обычный_Баймен" xfId="49"/>
    <cellStyle name="Обычный_Лист1" xfId="1"/>
    <cellStyle name="Обычный_У510" xfId="20"/>
    <cellStyle name="Обычный_У512" xfId="26"/>
    <cellStyle name="Обычный_У513" xfId="44"/>
    <cellStyle name="Обычный_У514" xfId="43"/>
    <cellStyle name="Обычный_У515" xfId="37"/>
    <cellStyle name="Обычный_У56" xfId="45"/>
    <cellStyle name="Обычный_У78" xfId="55"/>
    <cellStyle name="Процентный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E32" sqref="E32"/>
    </sheetView>
  </sheetViews>
  <sheetFormatPr defaultRowHeight="15" x14ac:dyDescent="0.25"/>
  <cols>
    <col min="1" max="1" width="27.5703125" customWidth="1"/>
    <col min="4" max="5" width="12.42578125" customWidth="1"/>
  </cols>
  <sheetData>
    <row r="1" spans="1:5" x14ac:dyDescent="0.25">
      <c r="A1" s="138" t="s">
        <v>9</v>
      </c>
      <c r="B1" s="138"/>
      <c r="C1" s="138"/>
      <c r="D1" s="138"/>
      <c r="E1" s="138"/>
    </row>
    <row r="3" spans="1:5" x14ac:dyDescent="0.25">
      <c r="D3" s="4" t="s">
        <v>7</v>
      </c>
      <c r="E3" s="4" t="s">
        <v>8</v>
      </c>
    </row>
    <row r="4" spans="1:5" x14ac:dyDescent="0.25">
      <c r="A4" s="139" t="s">
        <v>0</v>
      </c>
      <c r="B4" s="139"/>
      <c r="C4" s="1">
        <v>360.66</v>
      </c>
      <c r="D4">
        <f>$C4/$C$10*D$10</f>
        <v>73.643296881867954</v>
      </c>
      <c r="E4">
        <f>$C4/$C$10*E$10</f>
        <v>115.39851778840391</v>
      </c>
    </row>
    <row r="5" spans="1:5" x14ac:dyDescent="0.25">
      <c r="A5" s="139" t="s">
        <v>1</v>
      </c>
      <c r="B5" s="139"/>
      <c r="C5" s="1">
        <v>250.26</v>
      </c>
      <c r="D5">
        <f t="shared" ref="D5:E9" si="0">$C5/$C$10*D$10</f>
        <v>51.100680634548532</v>
      </c>
      <c r="E5">
        <f t="shared" si="0"/>
        <v>80.074399882787006</v>
      </c>
    </row>
    <row r="6" spans="1:5" x14ac:dyDescent="0.25">
      <c r="A6" s="139" t="s">
        <v>2</v>
      </c>
      <c r="B6" s="139"/>
      <c r="C6" s="1">
        <v>168.12</v>
      </c>
      <c r="D6">
        <f t="shared" si="0"/>
        <v>34.328484089667946</v>
      </c>
      <c r="E6">
        <f t="shared" si="0"/>
        <v>53.792488245401394</v>
      </c>
    </row>
    <row r="7" spans="1:5" x14ac:dyDescent="0.25">
      <c r="A7" s="139" t="s">
        <v>3</v>
      </c>
      <c r="B7" s="139"/>
      <c r="C7" s="1">
        <v>217.91</v>
      </c>
      <c r="D7">
        <f t="shared" si="0"/>
        <v>44.49512234106318</v>
      </c>
      <c r="E7">
        <f t="shared" si="0"/>
        <v>69.723537434900166</v>
      </c>
    </row>
    <row r="8" spans="1:5" x14ac:dyDescent="0.25">
      <c r="A8" s="139" t="s">
        <v>4</v>
      </c>
      <c r="B8" s="139"/>
      <c r="C8" s="1">
        <v>335.27</v>
      </c>
      <c r="D8">
        <f t="shared" si="0"/>
        <v>68.458903525713595</v>
      </c>
      <c r="E8">
        <f t="shared" si="0"/>
        <v>107.27461059978421</v>
      </c>
    </row>
    <row r="9" spans="1:5" ht="15.75" thickBot="1" x14ac:dyDescent="0.3">
      <c r="A9" s="139" t="s">
        <v>5</v>
      </c>
      <c r="B9" s="139"/>
      <c r="C9" s="1">
        <v>169.32</v>
      </c>
      <c r="D9">
        <f t="shared" si="0"/>
        <v>34.573512527138803</v>
      </c>
      <c r="E9">
        <f t="shared" si="0"/>
        <v>54.176446048723307</v>
      </c>
    </row>
    <row r="10" spans="1:5" x14ac:dyDescent="0.25">
      <c r="A10" s="137" t="s">
        <v>6</v>
      </c>
      <c r="B10" s="137"/>
      <c r="C10" s="2">
        <v>1501.54</v>
      </c>
      <c r="D10" s="2">
        <v>306.60000000000002</v>
      </c>
      <c r="E10" s="2">
        <v>480.44</v>
      </c>
    </row>
    <row r="12" spans="1:5" x14ac:dyDescent="0.25">
      <c r="D12" s="4" t="s">
        <v>7</v>
      </c>
      <c r="E12" s="4" t="s">
        <v>8</v>
      </c>
    </row>
    <row r="13" spans="1:5" x14ac:dyDescent="0.25">
      <c r="A13" t="s">
        <v>0</v>
      </c>
      <c r="D13">
        <f>ROUND(D4,3)</f>
        <v>73.643000000000001</v>
      </c>
      <c r="E13">
        <f>ROUND(E4,3)</f>
        <v>115.399</v>
      </c>
    </row>
    <row r="14" spans="1:5" x14ac:dyDescent="0.25">
      <c r="A14" t="s">
        <v>1</v>
      </c>
      <c r="D14">
        <f t="shared" ref="D14:E18" si="1">ROUND(D5,3)</f>
        <v>51.100999999999999</v>
      </c>
      <c r="E14">
        <f t="shared" si="1"/>
        <v>80.073999999999998</v>
      </c>
    </row>
    <row r="15" spans="1:5" x14ac:dyDescent="0.25">
      <c r="A15" t="s">
        <v>2</v>
      </c>
      <c r="D15">
        <f t="shared" si="1"/>
        <v>34.328000000000003</v>
      </c>
      <c r="E15">
        <f t="shared" si="1"/>
        <v>53.792000000000002</v>
      </c>
    </row>
    <row r="16" spans="1:5" x14ac:dyDescent="0.25">
      <c r="A16" t="s">
        <v>3</v>
      </c>
      <c r="D16">
        <f t="shared" si="1"/>
        <v>44.494999999999997</v>
      </c>
      <c r="E16">
        <f t="shared" si="1"/>
        <v>69.724000000000004</v>
      </c>
    </row>
    <row r="17" spans="1:5" x14ac:dyDescent="0.25">
      <c r="A17" t="s">
        <v>4</v>
      </c>
      <c r="D17">
        <f t="shared" si="1"/>
        <v>68.459000000000003</v>
      </c>
      <c r="E17">
        <f t="shared" si="1"/>
        <v>107.27500000000001</v>
      </c>
    </row>
    <row r="18" spans="1:5" ht="15.75" thickBot="1" x14ac:dyDescent="0.3">
      <c r="A18" t="s">
        <v>5</v>
      </c>
      <c r="D18">
        <f t="shared" si="1"/>
        <v>34.573999999999998</v>
      </c>
      <c r="E18">
        <f t="shared" si="1"/>
        <v>54.176000000000002</v>
      </c>
    </row>
    <row r="19" spans="1:5" x14ac:dyDescent="0.25">
      <c r="A19" t="s">
        <v>6</v>
      </c>
      <c r="D19" s="2">
        <f>SUM(D13:D18)</f>
        <v>306.60000000000002</v>
      </c>
      <c r="E19" s="2">
        <f>SUM(E13:E18)</f>
        <v>480.44</v>
      </c>
    </row>
    <row r="23" spans="1:5" x14ac:dyDescent="0.25">
      <c r="D23" s="3"/>
    </row>
  </sheetData>
  <mergeCells count="8">
    <mergeCell ref="A10:B10"/>
    <mergeCell ref="A1:E1"/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workbookViewId="0">
      <selection activeCell="B27" sqref="B27"/>
    </sheetView>
  </sheetViews>
  <sheetFormatPr defaultRowHeight="15" x14ac:dyDescent="0.25"/>
  <cols>
    <col min="1" max="1" width="27.5703125" customWidth="1"/>
    <col min="4" max="4" width="19.5703125" customWidth="1"/>
    <col min="5" max="5" width="12.42578125" customWidth="1"/>
    <col min="6" max="6" width="16.5703125" customWidth="1"/>
  </cols>
  <sheetData>
    <row r="1" spans="1:7" x14ac:dyDescent="0.25">
      <c r="A1" s="138" t="s">
        <v>10</v>
      </c>
      <c r="B1" s="138"/>
      <c r="C1" s="138"/>
      <c r="D1" s="138"/>
      <c r="E1" s="138"/>
    </row>
    <row r="3" spans="1:7" ht="45" x14ac:dyDescent="0.25">
      <c r="D3" s="8" t="s">
        <v>17</v>
      </c>
      <c r="E3" s="4" t="s">
        <v>8</v>
      </c>
      <c r="F3" s="8" t="s">
        <v>18</v>
      </c>
      <c r="G3" s="4" t="s">
        <v>7</v>
      </c>
    </row>
    <row r="4" spans="1:7" ht="15" customHeight="1" x14ac:dyDescent="0.25">
      <c r="A4" s="140" t="s">
        <v>11</v>
      </c>
      <c r="B4" s="140"/>
      <c r="C4" s="7">
        <v>123.02</v>
      </c>
      <c r="D4">
        <f>$C4/$C$10*D$10</f>
        <v>22.208361689891618</v>
      </c>
      <c r="E4">
        <f>$C4/$C$10*E$10</f>
        <v>12.780365759787658</v>
      </c>
      <c r="F4">
        <f t="shared" ref="F4:G9" si="0">$C4/$C$10*F$10</f>
        <v>12.408122096881222</v>
      </c>
      <c r="G4">
        <f t="shared" si="0"/>
        <v>28.807523468259237</v>
      </c>
    </row>
    <row r="5" spans="1:7" ht="15" customHeight="1" x14ac:dyDescent="0.25">
      <c r="A5" s="140" t="s">
        <v>12</v>
      </c>
      <c r="B5" s="140"/>
      <c r="C5" s="7">
        <v>208.02</v>
      </c>
      <c r="D5">
        <f t="shared" ref="D5:E9" si="1">$C5/$C$10*D$10</f>
        <v>37.553108427339083</v>
      </c>
      <c r="E5">
        <f t="shared" si="1"/>
        <v>21.610889980092903</v>
      </c>
      <c r="F5">
        <f t="shared" si="0"/>
        <v>20.981446582614467</v>
      </c>
      <c r="G5">
        <f t="shared" si="0"/>
        <v>48.711925149303255</v>
      </c>
    </row>
    <row r="6" spans="1:7" ht="15" customHeight="1" x14ac:dyDescent="0.25">
      <c r="A6" s="140" t="s">
        <v>13</v>
      </c>
      <c r="B6" s="140"/>
      <c r="C6" s="7">
        <v>204.14</v>
      </c>
      <c r="D6">
        <f t="shared" si="1"/>
        <v>36.852665870382651</v>
      </c>
      <c r="E6">
        <f t="shared" si="1"/>
        <v>21.207802521566023</v>
      </c>
      <c r="F6">
        <f t="shared" si="0"/>
        <v>20.590099535500993</v>
      </c>
      <c r="G6">
        <f t="shared" si="0"/>
        <v>47.803347754921475</v>
      </c>
    </row>
    <row r="7" spans="1:7" ht="15" customHeight="1" x14ac:dyDescent="0.25">
      <c r="A7" s="140" t="s">
        <v>14</v>
      </c>
      <c r="B7" s="140"/>
      <c r="C7" s="7">
        <v>183.3</v>
      </c>
      <c r="D7">
        <f t="shared" si="1"/>
        <v>33.090495023224953</v>
      </c>
      <c r="E7">
        <f t="shared" si="1"/>
        <v>19.04276575978766</v>
      </c>
      <c r="F7">
        <f t="shared" si="0"/>
        <v>18.488122096881224</v>
      </c>
      <c r="G7">
        <f t="shared" si="0"/>
        <v>42.923256801592572</v>
      </c>
    </row>
    <row r="8" spans="1:7" ht="15" customHeight="1" x14ac:dyDescent="0.25">
      <c r="A8" s="140" t="s">
        <v>15</v>
      </c>
      <c r="B8" s="140"/>
      <c r="C8" s="7">
        <v>204.88</v>
      </c>
      <c r="D8">
        <f t="shared" si="1"/>
        <v>36.986255430214548</v>
      </c>
      <c r="E8">
        <f t="shared" si="1"/>
        <v>21.284680026542798</v>
      </c>
      <c r="F8">
        <f t="shared" si="0"/>
        <v>20.664737889847377</v>
      </c>
      <c r="G8">
        <f t="shared" si="0"/>
        <v>47.976633134262329</v>
      </c>
    </row>
    <row r="9" spans="1:7" ht="15.75" customHeight="1" thickBot="1" x14ac:dyDescent="0.3">
      <c r="A9" s="140" t="s">
        <v>16</v>
      </c>
      <c r="B9" s="140"/>
      <c r="C9" s="7">
        <v>206.89</v>
      </c>
      <c r="D9">
        <f t="shared" si="1"/>
        <v>37.349113558947131</v>
      </c>
      <c r="E9">
        <f t="shared" si="1"/>
        <v>21.493495952222958</v>
      </c>
      <c r="F9">
        <f t="shared" si="0"/>
        <v>20.867471798274714</v>
      </c>
      <c r="G9">
        <f t="shared" si="0"/>
        <v>48.447313691661137</v>
      </c>
    </row>
    <row r="10" spans="1:7" x14ac:dyDescent="0.25">
      <c r="A10" s="137" t="s">
        <v>6</v>
      </c>
      <c r="B10" s="137"/>
      <c r="C10" s="2">
        <f>SUM(C4:C9)</f>
        <v>1130.25</v>
      </c>
      <c r="D10" s="2">
        <v>204.04</v>
      </c>
      <c r="E10" s="2">
        <v>117.42</v>
      </c>
      <c r="F10" s="2">
        <v>114</v>
      </c>
      <c r="G10" s="2">
        <v>264.67</v>
      </c>
    </row>
    <row r="12" spans="1:7" ht="33" customHeight="1" x14ac:dyDescent="0.25">
      <c r="D12" s="8" t="s">
        <v>17</v>
      </c>
      <c r="E12" s="4" t="s">
        <v>8</v>
      </c>
      <c r="F12" s="8" t="s">
        <v>18</v>
      </c>
      <c r="G12" s="4" t="s">
        <v>7</v>
      </c>
    </row>
    <row r="13" spans="1:7" x14ac:dyDescent="0.25">
      <c r="A13" t="str">
        <f>A4</f>
        <v xml:space="preserve">Производство 4640 от 07.10.2025 </v>
      </c>
      <c r="D13" s="9">
        <f>ROUND(D4,3)</f>
        <v>22.207999999999998</v>
      </c>
      <c r="E13">
        <f>ROUND(E4,3)</f>
        <v>12.78</v>
      </c>
      <c r="F13" s="9">
        <f>ROUND(F4,3)</f>
        <v>12.407999999999999</v>
      </c>
      <c r="G13">
        <f>ROUND(G4,3)</f>
        <v>28.808</v>
      </c>
    </row>
    <row r="14" spans="1:7" x14ac:dyDescent="0.25">
      <c r="A14" t="str">
        <f t="shared" ref="A14:A18" si="2">A5</f>
        <v xml:space="preserve">Производство 4672 от 08.10.2025 </v>
      </c>
      <c r="D14">
        <f t="shared" ref="D14:E18" si="3">ROUND(D5,3)</f>
        <v>37.552999999999997</v>
      </c>
      <c r="E14">
        <f t="shared" si="3"/>
        <v>21.611000000000001</v>
      </c>
      <c r="F14">
        <f t="shared" ref="F14:G14" si="4">ROUND(F5,3)</f>
        <v>20.981000000000002</v>
      </c>
      <c r="G14">
        <f t="shared" si="4"/>
        <v>48.712000000000003</v>
      </c>
    </row>
    <row r="15" spans="1:7" x14ac:dyDescent="0.25">
      <c r="A15" t="str">
        <f t="shared" si="2"/>
        <v xml:space="preserve">Производство 4700 от 09.10.2025 </v>
      </c>
      <c r="D15">
        <f t="shared" si="3"/>
        <v>36.853000000000002</v>
      </c>
      <c r="E15">
        <f t="shared" si="3"/>
        <v>21.207999999999998</v>
      </c>
      <c r="F15">
        <f t="shared" ref="F15:G15" si="5">ROUND(F6,3)</f>
        <v>20.59</v>
      </c>
      <c r="G15">
        <f t="shared" si="5"/>
        <v>47.802999999999997</v>
      </c>
    </row>
    <row r="16" spans="1:7" x14ac:dyDescent="0.25">
      <c r="A16" t="str">
        <f t="shared" si="2"/>
        <v xml:space="preserve">Производство 4757 от 10.10.2025 </v>
      </c>
      <c r="D16">
        <f t="shared" si="3"/>
        <v>33.090000000000003</v>
      </c>
      <c r="E16">
        <f t="shared" si="3"/>
        <v>19.042999999999999</v>
      </c>
      <c r="F16">
        <f t="shared" ref="F16:G16" si="6">ROUND(F7,3)</f>
        <v>18.488</v>
      </c>
      <c r="G16">
        <f t="shared" si="6"/>
        <v>42.923000000000002</v>
      </c>
    </row>
    <row r="17" spans="1:7" x14ac:dyDescent="0.25">
      <c r="A17" t="str">
        <f t="shared" si="2"/>
        <v xml:space="preserve">Производство 4773 от 13.10.2025 </v>
      </c>
      <c r="D17">
        <f t="shared" si="3"/>
        <v>36.985999999999997</v>
      </c>
      <c r="E17">
        <f t="shared" si="3"/>
        <v>21.285</v>
      </c>
      <c r="F17">
        <f t="shared" ref="F17:G17" si="7">ROUND(F8,3)</f>
        <v>20.664999999999999</v>
      </c>
      <c r="G17">
        <f t="shared" si="7"/>
        <v>47.976999999999997</v>
      </c>
    </row>
    <row r="18" spans="1:7" ht="15.75" thickBot="1" x14ac:dyDescent="0.3">
      <c r="A18" t="str">
        <f t="shared" si="2"/>
        <v xml:space="preserve">Производство 4798 от 14.10.2025 </v>
      </c>
      <c r="D18">
        <f t="shared" si="3"/>
        <v>37.348999999999997</v>
      </c>
      <c r="E18">
        <f t="shared" si="3"/>
        <v>21.492999999999999</v>
      </c>
      <c r="F18">
        <f t="shared" ref="F18:G18" si="8">ROUND(F9,3)</f>
        <v>20.867000000000001</v>
      </c>
      <c r="G18">
        <f t="shared" si="8"/>
        <v>48.447000000000003</v>
      </c>
    </row>
    <row r="19" spans="1:7" x14ac:dyDescent="0.25">
      <c r="A19" s="137" t="s">
        <v>6</v>
      </c>
      <c r="B19" s="137"/>
      <c r="D19" s="2">
        <f>SUM(D13:D18)</f>
        <v>204.03899999999999</v>
      </c>
      <c r="E19" s="2">
        <f>SUM(E13:E18)</f>
        <v>117.41999999999999</v>
      </c>
      <c r="F19" s="2">
        <f t="shared" ref="F19:G19" si="9">SUM(F13:F18)</f>
        <v>113.99900000000001</v>
      </c>
      <c r="G19" s="2">
        <f t="shared" si="9"/>
        <v>264.67</v>
      </c>
    </row>
    <row r="23" spans="1:7" x14ac:dyDescent="0.25">
      <c r="D23" s="5"/>
    </row>
  </sheetData>
  <mergeCells count="9">
    <mergeCell ref="A1:E1"/>
    <mergeCell ref="A19:B19"/>
    <mergeCell ref="A10:B10"/>
    <mergeCell ref="A4:B4"/>
    <mergeCell ref="A5:B5"/>
    <mergeCell ref="A6:B6"/>
    <mergeCell ref="A7:B7"/>
    <mergeCell ref="A8:B8"/>
    <mergeCell ref="A9:B9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7"/>
  <sheetViews>
    <sheetView workbookViewId="0">
      <selection activeCell="K9" activeCellId="1" sqref="F4:F8 K9"/>
    </sheetView>
  </sheetViews>
  <sheetFormatPr defaultRowHeight="15" x14ac:dyDescent="0.25"/>
  <cols>
    <col min="1" max="1" width="27.5703125" customWidth="1"/>
    <col min="4" max="4" width="19.5703125" customWidth="1"/>
    <col min="5" max="5" width="12.42578125" customWidth="1"/>
    <col min="6" max="6" width="16.5703125" customWidth="1"/>
  </cols>
  <sheetData>
    <row r="1" spans="1:12" x14ac:dyDescent="0.25">
      <c r="A1" s="138" t="s">
        <v>35</v>
      </c>
      <c r="B1" s="138"/>
      <c r="C1" s="138"/>
      <c r="D1" s="138"/>
      <c r="E1" s="138"/>
    </row>
    <row r="3" spans="1:12" ht="60" x14ac:dyDescent="0.25">
      <c r="D3" s="8" t="s">
        <v>32</v>
      </c>
      <c r="E3" s="8" t="s">
        <v>33</v>
      </c>
      <c r="F3" s="8" t="s">
        <v>34</v>
      </c>
      <c r="G3" s="4" t="s">
        <v>7</v>
      </c>
    </row>
    <row r="4" spans="1:12" x14ac:dyDescent="0.25">
      <c r="A4" s="141" t="s">
        <v>19</v>
      </c>
      <c r="B4" s="141"/>
      <c r="C4" s="11">
        <v>51.8</v>
      </c>
      <c r="D4">
        <f t="shared" ref="D4:G10" si="0">$C4/$C$17*D$17</f>
        <v>5.437541750167</v>
      </c>
      <c r="E4">
        <f t="shared" si="0"/>
        <v>9.553895670128135</v>
      </c>
      <c r="F4">
        <f t="shared" si="0"/>
        <v>13.974931681544907</v>
      </c>
      <c r="G4">
        <f t="shared" si="0"/>
        <v>13.832926458978562</v>
      </c>
    </row>
    <row r="5" spans="1:12" x14ac:dyDescent="0.25">
      <c r="A5" s="141" t="s">
        <v>20</v>
      </c>
      <c r="B5" s="141"/>
      <c r="C5" s="11">
        <v>158.61000000000001</v>
      </c>
      <c r="D5">
        <f t="shared" si="0"/>
        <v>16.649584884053823</v>
      </c>
      <c r="E5">
        <f t="shared" si="0"/>
        <v>29.253733440907791</v>
      </c>
      <c r="F5">
        <f t="shared" si="0"/>
        <v>42.790809150769078</v>
      </c>
      <c r="G5">
        <f t="shared" si="0"/>
        <v>42.355993545532627</v>
      </c>
    </row>
    <row r="6" spans="1:12" x14ac:dyDescent="0.25">
      <c r="A6" s="141" t="s">
        <v>21</v>
      </c>
      <c r="B6" s="141"/>
      <c r="C6" s="11">
        <v>164.98</v>
      </c>
      <c r="D6">
        <f t="shared" si="0"/>
        <v>17.318255558736521</v>
      </c>
      <c r="E6">
        <f t="shared" si="0"/>
        <v>30.428604394937057</v>
      </c>
      <c r="F6">
        <f t="shared" si="0"/>
        <v>44.509348046742836</v>
      </c>
      <c r="G6">
        <f t="shared" si="0"/>
        <v>44.057069637109713</v>
      </c>
    </row>
    <row r="7" spans="1:12" x14ac:dyDescent="0.25">
      <c r="A7" s="141" t="s">
        <v>22</v>
      </c>
      <c r="B7" s="141"/>
      <c r="C7" s="11">
        <v>168.28</v>
      </c>
      <c r="D7">
        <f t="shared" si="0"/>
        <v>17.664662658650634</v>
      </c>
      <c r="E7">
        <f t="shared" si="0"/>
        <v>31.037250258091941</v>
      </c>
      <c r="F7">
        <f t="shared" si="0"/>
        <v>45.399642922208052</v>
      </c>
      <c r="G7">
        <f t="shared" si="0"/>
        <v>44.93831784781684</v>
      </c>
    </row>
    <row r="8" spans="1:12" x14ac:dyDescent="0.25">
      <c r="A8" s="141" t="s">
        <v>23</v>
      </c>
      <c r="B8" s="141"/>
      <c r="C8" s="11">
        <v>160.65</v>
      </c>
      <c r="D8">
        <f t="shared" si="0"/>
        <v>16.863727454909817</v>
      </c>
      <c r="E8">
        <f t="shared" si="0"/>
        <v>29.629987247221713</v>
      </c>
      <c r="F8">
        <f t="shared" si="0"/>
        <v>43.341173255602115</v>
      </c>
      <c r="G8">
        <f t="shared" si="0"/>
        <v>42.900765166697028</v>
      </c>
    </row>
    <row r="9" spans="1:12" x14ac:dyDescent="0.25">
      <c r="A9" s="141" t="s">
        <v>24</v>
      </c>
      <c r="B9" s="141"/>
      <c r="C9" s="11">
        <v>55.57</v>
      </c>
      <c r="D9">
        <f t="shared" si="0"/>
        <v>5.8332856188567606</v>
      </c>
      <c r="E9">
        <f t="shared" si="0"/>
        <v>10.249227459247498</v>
      </c>
      <c r="F9">
        <f t="shared" si="0"/>
        <v>14.992026130182444</v>
      </c>
      <c r="G9">
        <f t="shared" si="0"/>
        <v>14.839685778483373</v>
      </c>
      <c r="H9" s="22">
        <f>C9+C10+C11+C12+C13+C14+C15+C16</f>
        <v>448.36999999999989</v>
      </c>
      <c r="I9" s="22">
        <f t="shared" ref="I9:L9" si="1">D9+D10+D11+D12+D13+D14+D15+D16</f>
        <v>47.06622769348219</v>
      </c>
      <c r="J9" s="22">
        <f t="shared" si="1"/>
        <v>82.696528988713339</v>
      </c>
      <c r="K9" s="22">
        <f t="shared" si="1"/>
        <v>120.96409494313301</v>
      </c>
      <c r="L9" s="22">
        <f t="shared" si="1"/>
        <v>119.73492734386522</v>
      </c>
    </row>
    <row r="10" spans="1:12" x14ac:dyDescent="0.25">
      <c r="A10" s="141" t="s">
        <v>25</v>
      </c>
      <c r="B10" s="141"/>
      <c r="C10" s="11">
        <v>55.79</v>
      </c>
      <c r="D10">
        <f t="shared" si="0"/>
        <v>5.8563794255177015</v>
      </c>
      <c r="E10">
        <f t="shared" si="0"/>
        <v>10.289803850124491</v>
      </c>
      <c r="F10">
        <f t="shared" si="0"/>
        <v>15.051379121880125</v>
      </c>
      <c r="G10">
        <f t="shared" si="0"/>
        <v>14.898435659197181</v>
      </c>
    </row>
    <row r="11" spans="1:12" ht="15" customHeight="1" x14ac:dyDescent="0.25">
      <c r="A11" s="141" t="s">
        <v>26</v>
      </c>
      <c r="B11" s="141"/>
      <c r="C11" s="11">
        <v>55.87</v>
      </c>
      <c r="D11">
        <f>$C11/$C$17*D$17</f>
        <v>5.8647771733944065</v>
      </c>
      <c r="E11">
        <f>$C11/$C$17*E$17</f>
        <v>10.304558901352486</v>
      </c>
      <c r="F11">
        <f t="shared" ref="F11:G16" si="2">$C11/$C$17*F$17</f>
        <v>15.072962027952006</v>
      </c>
      <c r="G11">
        <f t="shared" si="2"/>
        <v>14.919799252184019</v>
      </c>
    </row>
    <row r="12" spans="1:12" ht="15" customHeight="1" x14ac:dyDescent="0.25">
      <c r="A12" s="141" t="s">
        <v>27</v>
      </c>
      <c r="B12" s="141"/>
      <c r="C12" s="11">
        <v>55.79</v>
      </c>
      <c r="D12">
        <f t="shared" ref="D12:E16" si="3">$C12/$C$17*D$17</f>
        <v>5.8563794255177015</v>
      </c>
      <c r="E12">
        <f t="shared" si="3"/>
        <v>10.289803850124491</v>
      </c>
      <c r="F12">
        <f t="shared" si="2"/>
        <v>15.051379121880125</v>
      </c>
      <c r="G12">
        <f t="shared" si="2"/>
        <v>14.898435659197181</v>
      </c>
    </row>
    <row r="13" spans="1:12" ht="15" customHeight="1" x14ac:dyDescent="0.25">
      <c r="A13" s="141" t="s">
        <v>28</v>
      </c>
      <c r="B13" s="141"/>
      <c r="C13" s="11">
        <v>55.57</v>
      </c>
      <c r="D13">
        <f t="shared" si="3"/>
        <v>5.8332856188567606</v>
      </c>
      <c r="E13">
        <f t="shared" si="3"/>
        <v>10.249227459247498</v>
      </c>
      <c r="F13">
        <f t="shared" si="2"/>
        <v>14.992026130182444</v>
      </c>
      <c r="G13">
        <f t="shared" si="2"/>
        <v>14.839685778483373</v>
      </c>
    </row>
    <row r="14" spans="1:12" ht="15" customHeight="1" x14ac:dyDescent="0.25">
      <c r="A14" s="141" t="s">
        <v>29</v>
      </c>
      <c r="B14" s="141"/>
      <c r="C14" s="11">
        <v>56.72</v>
      </c>
      <c r="D14">
        <f t="shared" si="3"/>
        <v>5.9540032445844062</v>
      </c>
      <c r="E14">
        <f t="shared" si="3"/>
        <v>10.461331320649958</v>
      </c>
      <c r="F14">
        <f t="shared" si="2"/>
        <v>15.302280404965776</v>
      </c>
      <c r="G14">
        <f t="shared" si="2"/>
        <v>15.146787427669191</v>
      </c>
    </row>
    <row r="15" spans="1:12" ht="15" customHeight="1" x14ac:dyDescent="0.25">
      <c r="A15" s="141" t="s">
        <v>30</v>
      </c>
      <c r="B15" s="141"/>
      <c r="C15" s="11">
        <v>57.16</v>
      </c>
      <c r="D15">
        <f t="shared" si="3"/>
        <v>6.0001908579062881</v>
      </c>
      <c r="E15">
        <f t="shared" si="3"/>
        <v>10.54248410240394</v>
      </c>
      <c r="F15">
        <f t="shared" si="2"/>
        <v>15.420986388361136</v>
      </c>
      <c r="G15">
        <f t="shared" si="2"/>
        <v>15.264287189096805</v>
      </c>
    </row>
    <row r="16" spans="1:12" ht="15.75" customHeight="1" thickBot="1" x14ac:dyDescent="0.3">
      <c r="A16" s="141" t="s">
        <v>31</v>
      </c>
      <c r="B16" s="141"/>
      <c r="C16" s="11">
        <v>55.9</v>
      </c>
      <c r="D16">
        <f t="shared" si="3"/>
        <v>5.8679263288481724</v>
      </c>
      <c r="E16">
        <f t="shared" si="3"/>
        <v>10.310092045562987</v>
      </c>
      <c r="F16">
        <f t="shared" si="2"/>
        <v>15.081055617728964</v>
      </c>
      <c r="G16">
        <f t="shared" si="2"/>
        <v>14.927810599554086</v>
      </c>
    </row>
    <row r="17" spans="1:7" x14ac:dyDescent="0.25">
      <c r="A17" s="137" t="s">
        <v>6</v>
      </c>
      <c r="B17" s="137"/>
      <c r="C17" s="12">
        <v>1152.69</v>
      </c>
      <c r="D17" s="2">
        <v>121</v>
      </c>
      <c r="E17" s="2">
        <v>212.6</v>
      </c>
      <c r="F17" s="2">
        <v>310.98</v>
      </c>
      <c r="G17" s="2">
        <v>307.82</v>
      </c>
    </row>
    <row r="19" spans="1:7" ht="43.5" customHeight="1" x14ac:dyDescent="0.25">
      <c r="D19" s="8" t="str">
        <f t="shared" ref="D19:F19" si="4">D3</f>
        <v>Нить п/э текстур. окр. нкрч. Текс 16,7 f 32,48 А черн №3603</v>
      </c>
      <c r="E19" s="8" t="str">
        <f t="shared" si="4"/>
        <v>трилобал 167 дтекс f 32</v>
      </c>
      <c r="F19" s="8" t="str">
        <f t="shared" si="4"/>
        <v>Пряжа п/э меланжевая25,0 текс Nm 40/1 (белая+черн)</v>
      </c>
      <c r="G19" s="4" t="str">
        <f>G3</f>
        <v>600dne</v>
      </c>
    </row>
    <row r="20" spans="1:7" x14ac:dyDescent="0.25">
      <c r="A20" s="141" t="s">
        <v>19</v>
      </c>
      <c r="B20" s="141"/>
      <c r="D20">
        <f>ROUND(D4,3)</f>
        <v>5.4379999999999997</v>
      </c>
      <c r="E20">
        <f t="shared" ref="E20:G20" si="5">ROUND(E4,3)</f>
        <v>9.5540000000000003</v>
      </c>
      <c r="F20">
        <f t="shared" si="5"/>
        <v>13.975</v>
      </c>
      <c r="G20">
        <f t="shared" si="5"/>
        <v>13.833</v>
      </c>
    </row>
    <row r="21" spans="1:7" x14ac:dyDescent="0.25">
      <c r="A21" s="141" t="s">
        <v>20</v>
      </c>
      <c r="B21" s="141"/>
      <c r="D21">
        <f t="shared" ref="D21:G21" si="6">ROUND(D5,3)</f>
        <v>16.649999999999999</v>
      </c>
      <c r="E21">
        <f t="shared" si="6"/>
        <v>29.254000000000001</v>
      </c>
      <c r="F21">
        <f t="shared" si="6"/>
        <v>42.790999999999997</v>
      </c>
      <c r="G21">
        <f t="shared" si="6"/>
        <v>42.356000000000002</v>
      </c>
    </row>
    <row r="22" spans="1:7" x14ac:dyDescent="0.25">
      <c r="A22" s="141" t="s">
        <v>21</v>
      </c>
      <c r="B22" s="141"/>
      <c r="D22">
        <f t="shared" ref="D22:G22" si="7">ROUND(D6,3)</f>
        <v>17.318000000000001</v>
      </c>
      <c r="E22">
        <f t="shared" si="7"/>
        <v>30.428999999999998</v>
      </c>
      <c r="F22">
        <f t="shared" si="7"/>
        <v>44.509</v>
      </c>
      <c r="G22">
        <f t="shared" si="7"/>
        <v>44.057000000000002</v>
      </c>
    </row>
    <row r="23" spans="1:7" x14ac:dyDescent="0.25">
      <c r="A23" s="141" t="s">
        <v>22</v>
      </c>
      <c r="B23" s="141"/>
      <c r="D23">
        <f t="shared" ref="D23:G23" si="8">ROUND(D7,3)</f>
        <v>17.664999999999999</v>
      </c>
      <c r="E23">
        <f t="shared" si="8"/>
        <v>31.036999999999999</v>
      </c>
      <c r="F23">
        <f t="shared" si="8"/>
        <v>45.4</v>
      </c>
      <c r="G23">
        <f t="shared" si="8"/>
        <v>44.938000000000002</v>
      </c>
    </row>
    <row r="24" spans="1:7" x14ac:dyDescent="0.25">
      <c r="A24" s="141" t="s">
        <v>23</v>
      </c>
      <c r="B24" s="141"/>
      <c r="D24">
        <f t="shared" ref="D24:G24" si="9">ROUND(D8,3)</f>
        <v>16.864000000000001</v>
      </c>
      <c r="E24">
        <f t="shared" si="9"/>
        <v>29.63</v>
      </c>
      <c r="F24">
        <f t="shared" si="9"/>
        <v>43.341000000000001</v>
      </c>
      <c r="G24">
        <f t="shared" si="9"/>
        <v>42.901000000000003</v>
      </c>
    </row>
    <row r="25" spans="1:7" x14ac:dyDescent="0.25">
      <c r="A25" s="141" t="s">
        <v>24</v>
      </c>
      <c r="B25" s="141"/>
      <c r="D25">
        <f t="shared" ref="D25:G25" si="10">ROUND(D9,3)</f>
        <v>5.8330000000000002</v>
      </c>
      <c r="E25">
        <f t="shared" si="10"/>
        <v>10.249000000000001</v>
      </c>
      <c r="F25">
        <f t="shared" si="10"/>
        <v>14.992000000000001</v>
      </c>
      <c r="G25">
        <f t="shared" si="10"/>
        <v>14.84</v>
      </c>
    </row>
    <row r="26" spans="1:7" x14ac:dyDescent="0.25">
      <c r="A26" s="141" t="s">
        <v>25</v>
      </c>
      <c r="B26" s="141"/>
      <c r="D26">
        <f t="shared" ref="D26:G26" si="11">ROUND(D10,3)</f>
        <v>5.8559999999999999</v>
      </c>
      <c r="E26">
        <f t="shared" si="11"/>
        <v>10.29</v>
      </c>
      <c r="F26">
        <f t="shared" si="11"/>
        <v>15.051</v>
      </c>
      <c r="G26">
        <f t="shared" si="11"/>
        <v>14.898</v>
      </c>
    </row>
    <row r="27" spans="1:7" x14ac:dyDescent="0.25">
      <c r="A27" s="141" t="s">
        <v>26</v>
      </c>
      <c r="B27" s="141"/>
      <c r="D27">
        <f t="shared" ref="D27:G32" si="12">ROUND(D11,3)</f>
        <v>5.8650000000000002</v>
      </c>
      <c r="E27">
        <f t="shared" si="12"/>
        <v>10.305</v>
      </c>
      <c r="F27">
        <f t="shared" si="12"/>
        <v>15.073</v>
      </c>
      <c r="G27">
        <f t="shared" si="12"/>
        <v>14.92</v>
      </c>
    </row>
    <row r="28" spans="1:7" x14ac:dyDescent="0.25">
      <c r="A28" s="141" t="s">
        <v>27</v>
      </c>
      <c r="B28" s="141"/>
      <c r="D28">
        <f t="shared" si="12"/>
        <v>5.8559999999999999</v>
      </c>
      <c r="E28">
        <f t="shared" si="12"/>
        <v>10.29</v>
      </c>
      <c r="F28">
        <f t="shared" si="12"/>
        <v>15.051</v>
      </c>
      <c r="G28">
        <f t="shared" si="12"/>
        <v>14.898</v>
      </c>
    </row>
    <row r="29" spans="1:7" x14ac:dyDescent="0.25">
      <c r="A29" s="141" t="s">
        <v>28</v>
      </c>
      <c r="B29" s="141"/>
      <c r="D29">
        <f t="shared" si="12"/>
        <v>5.8330000000000002</v>
      </c>
      <c r="E29">
        <f t="shared" si="12"/>
        <v>10.249000000000001</v>
      </c>
      <c r="F29">
        <f t="shared" si="12"/>
        <v>14.992000000000001</v>
      </c>
      <c r="G29">
        <f t="shared" si="12"/>
        <v>14.84</v>
      </c>
    </row>
    <row r="30" spans="1:7" x14ac:dyDescent="0.25">
      <c r="A30" s="141" t="s">
        <v>29</v>
      </c>
      <c r="B30" s="141"/>
      <c r="D30">
        <f t="shared" si="12"/>
        <v>5.9539999999999997</v>
      </c>
      <c r="E30">
        <f t="shared" si="12"/>
        <v>10.461</v>
      </c>
      <c r="F30">
        <f t="shared" si="12"/>
        <v>15.302</v>
      </c>
      <c r="G30">
        <f t="shared" si="12"/>
        <v>15.147</v>
      </c>
    </row>
    <row r="31" spans="1:7" x14ac:dyDescent="0.25">
      <c r="A31" s="141" t="s">
        <v>30</v>
      </c>
      <c r="B31" s="141"/>
      <c r="D31">
        <f t="shared" si="12"/>
        <v>6</v>
      </c>
      <c r="E31">
        <f t="shared" si="12"/>
        <v>10.542</v>
      </c>
      <c r="F31">
        <f t="shared" si="12"/>
        <v>15.420999999999999</v>
      </c>
      <c r="G31">
        <f t="shared" si="12"/>
        <v>15.263999999999999</v>
      </c>
    </row>
    <row r="32" spans="1:7" ht="15.75" thickBot="1" x14ac:dyDescent="0.3">
      <c r="A32" s="141" t="s">
        <v>31</v>
      </c>
      <c r="B32" s="141"/>
      <c r="D32">
        <f t="shared" si="12"/>
        <v>5.8680000000000003</v>
      </c>
      <c r="E32">
        <f t="shared" si="12"/>
        <v>10.31</v>
      </c>
      <c r="F32">
        <f t="shared" si="12"/>
        <v>15.081</v>
      </c>
      <c r="G32">
        <f t="shared" si="12"/>
        <v>14.928000000000001</v>
      </c>
    </row>
    <row r="33" spans="1:7" ht="15" customHeight="1" x14ac:dyDescent="0.25">
      <c r="A33" s="137" t="s">
        <v>6</v>
      </c>
      <c r="B33" s="137"/>
      <c r="D33" s="2">
        <f>SUM(D20:D32)</f>
        <v>120.99999999999997</v>
      </c>
      <c r="E33" s="2">
        <f t="shared" ref="E33:G33" si="13">SUM(E20:E32)</f>
        <v>212.6</v>
      </c>
      <c r="F33" s="2">
        <f t="shared" si="13"/>
        <v>310.97900000000004</v>
      </c>
      <c r="G33" s="2">
        <f t="shared" si="13"/>
        <v>307.82</v>
      </c>
    </row>
    <row r="37" spans="1:7" x14ac:dyDescent="0.25">
      <c r="D37" s="6"/>
    </row>
  </sheetData>
  <mergeCells count="29">
    <mergeCell ref="A32:B32"/>
    <mergeCell ref="A30:B30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17:B17"/>
    <mergeCell ref="A33:B33"/>
    <mergeCell ref="A1:E1"/>
    <mergeCell ref="A4:B4"/>
    <mergeCell ref="A5:B5"/>
    <mergeCell ref="A6:B6"/>
    <mergeCell ref="A7:B7"/>
    <mergeCell ref="A8:B8"/>
    <mergeCell ref="A15:B15"/>
    <mergeCell ref="A16:B16"/>
    <mergeCell ref="A9:B9"/>
    <mergeCell ref="A10:B10"/>
    <mergeCell ref="A11:B11"/>
    <mergeCell ref="A12:B12"/>
    <mergeCell ref="A13:B13"/>
    <mergeCell ref="A14:B14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workbookViewId="0">
      <selection activeCell="F47" sqref="F47"/>
    </sheetView>
  </sheetViews>
  <sheetFormatPr defaultRowHeight="15" x14ac:dyDescent="0.25"/>
  <cols>
    <col min="1" max="1" width="27.5703125" customWidth="1"/>
    <col min="4" max="4" width="19.5703125" customWidth="1"/>
    <col min="5" max="5" width="12.42578125" customWidth="1"/>
    <col min="6" max="6" width="16.5703125" customWidth="1"/>
    <col min="9" max="10" width="10.5703125" customWidth="1"/>
  </cols>
  <sheetData>
    <row r="1" spans="1:10" x14ac:dyDescent="0.25">
      <c r="A1" s="138" t="s">
        <v>36</v>
      </c>
      <c r="B1" s="138"/>
      <c r="C1" s="138"/>
      <c r="D1" s="138"/>
      <c r="E1" s="138"/>
    </row>
    <row r="3" spans="1:10" x14ac:dyDescent="0.25">
      <c r="D3" s="8" t="s">
        <v>7</v>
      </c>
      <c r="E3" s="8" t="s">
        <v>41</v>
      </c>
      <c r="F3" s="8" t="s">
        <v>42</v>
      </c>
      <c r="G3" s="4" t="s">
        <v>43</v>
      </c>
      <c r="H3" s="4" t="s">
        <v>44</v>
      </c>
      <c r="I3" s="4" t="s">
        <v>45</v>
      </c>
      <c r="J3" s="4" t="s">
        <v>46</v>
      </c>
    </row>
    <row r="4" spans="1:10" x14ac:dyDescent="0.25">
      <c r="A4" s="142" t="s">
        <v>37</v>
      </c>
      <c r="B4" s="142"/>
      <c r="C4" s="14">
        <v>128.91</v>
      </c>
      <c r="D4">
        <f t="shared" ref="D4:J16" si="0">$C4/$C$17*D$17</f>
        <v>27.675387011148466</v>
      </c>
      <c r="E4">
        <f t="shared" si="0"/>
        <v>13.577637940187577</v>
      </c>
      <c r="F4">
        <f t="shared" si="0"/>
        <v>22.086473544505395</v>
      </c>
      <c r="G4">
        <f t="shared" si="0"/>
        <v>28.916353919660239</v>
      </c>
      <c r="H4">
        <f t="shared" si="0"/>
        <v>17.565156609449655</v>
      </c>
      <c r="I4">
        <f t="shared" si="0"/>
        <v>0.45623783401167933</v>
      </c>
      <c r="J4">
        <f t="shared" si="0"/>
        <v>0.45623783401167933</v>
      </c>
    </row>
    <row r="5" spans="1:10" x14ac:dyDescent="0.25">
      <c r="A5" s="142" t="s">
        <v>38</v>
      </c>
      <c r="B5" s="142"/>
      <c r="C5" s="14">
        <v>29.55</v>
      </c>
      <c r="D5">
        <f t="shared" si="0"/>
        <v>6.3440205273402936</v>
      </c>
      <c r="E5">
        <f t="shared" si="0"/>
        <v>3.1123978056981065</v>
      </c>
      <c r="F5">
        <f t="shared" si="0"/>
        <v>5.0628755972394259</v>
      </c>
      <c r="G5">
        <f t="shared" si="0"/>
        <v>6.6284869934524862</v>
      </c>
      <c r="H5">
        <f t="shared" si="0"/>
        <v>4.0264554946027253</v>
      </c>
      <c r="I5">
        <f t="shared" si="0"/>
        <v>0.10458325960007078</v>
      </c>
      <c r="J5">
        <f t="shared" si="0"/>
        <v>0.10458325960007078</v>
      </c>
    </row>
    <row r="6" spans="1:10" x14ac:dyDescent="0.25">
      <c r="A6" s="142" t="s">
        <v>39</v>
      </c>
      <c r="B6" s="142"/>
      <c r="C6" s="14">
        <v>8.23</v>
      </c>
      <c r="D6">
        <f t="shared" si="0"/>
        <v>1.766879490355689</v>
      </c>
      <c r="E6">
        <f t="shared" si="0"/>
        <v>0.86683701999646079</v>
      </c>
      <c r="F6">
        <f t="shared" si="0"/>
        <v>1.4100665368961245</v>
      </c>
      <c r="G6">
        <f t="shared" si="0"/>
        <v>1.8461065298177315</v>
      </c>
      <c r="H6">
        <f t="shared" si="0"/>
        <v>1.1214121394443461</v>
      </c>
      <c r="I6">
        <f t="shared" si="0"/>
        <v>2.9127588037515483E-2</v>
      </c>
      <c r="J6">
        <f t="shared" si="0"/>
        <v>2.9127588037515483E-2</v>
      </c>
    </row>
    <row r="7" spans="1:10" ht="15.75" thickBot="1" x14ac:dyDescent="0.3">
      <c r="A7" s="142" t="s">
        <v>40</v>
      </c>
      <c r="B7" s="142"/>
      <c r="C7" s="14">
        <v>115.86</v>
      </c>
      <c r="D7">
        <f t="shared" si="0"/>
        <v>24.873712971155545</v>
      </c>
      <c r="E7">
        <f t="shared" si="0"/>
        <v>12.203127234117856</v>
      </c>
      <c r="F7">
        <f t="shared" si="0"/>
        <v>19.850584321359051</v>
      </c>
      <c r="G7">
        <f t="shared" si="0"/>
        <v>25.989052557069545</v>
      </c>
      <c r="H7">
        <f t="shared" si="0"/>
        <v>15.786975756503274</v>
      </c>
      <c r="I7">
        <f t="shared" si="0"/>
        <v>0.41005131835073438</v>
      </c>
      <c r="J7">
        <f t="shared" si="0"/>
        <v>0.41005131835073438</v>
      </c>
    </row>
    <row r="8" spans="1:10" hidden="1" x14ac:dyDescent="0.25">
      <c r="A8" s="141"/>
      <c r="B8" s="141"/>
      <c r="C8" s="11"/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idden="1" x14ac:dyDescent="0.25">
      <c r="A9" s="141"/>
      <c r="B9" s="141"/>
      <c r="C9" s="11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idden="1" x14ac:dyDescent="0.25">
      <c r="A10" s="141"/>
      <c r="B10" s="141"/>
      <c r="C10" s="11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" hidden="1" customHeight="1" x14ac:dyDescent="0.25">
      <c r="A11" s="141"/>
      <c r="B11" s="141"/>
      <c r="C11" s="11"/>
      <c r="D11">
        <f>$C11/$C$17*D$17</f>
        <v>0</v>
      </c>
      <c r="E11">
        <f>$C11/$C$17*E$17</f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1"/>
      <c r="B12" s="141"/>
      <c r="C12" s="11"/>
      <c r="D12">
        <f t="shared" ref="D12:E16" si="1">$C12/$C$17*D$17</f>
        <v>0</v>
      </c>
      <c r="E12">
        <f t="shared" si="1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1"/>
      <c r="B13" s="141"/>
      <c r="C13" s="11"/>
      <c r="D13">
        <f t="shared" si="1"/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1"/>
      <c r="B14" s="141"/>
      <c r="C14" s="11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1"/>
      <c r="B15" s="141"/>
      <c r="C15" s="11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.75" hidden="1" customHeight="1" thickBot="1" x14ac:dyDescent="0.3">
      <c r="A16" s="141"/>
      <c r="B16" s="141"/>
      <c r="C16" s="11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x14ac:dyDescent="0.25">
      <c r="A17" s="137" t="s">
        <v>6</v>
      </c>
      <c r="B17" s="137"/>
      <c r="C17" s="12">
        <f>SUM(C4:C16)</f>
        <v>282.55</v>
      </c>
      <c r="D17" s="2">
        <v>60.66</v>
      </c>
      <c r="E17" s="2">
        <v>29.76</v>
      </c>
      <c r="F17" s="2">
        <v>48.41</v>
      </c>
      <c r="G17" s="2">
        <v>63.38</v>
      </c>
      <c r="H17" s="2">
        <v>38.5</v>
      </c>
      <c r="I17" s="2">
        <v>1</v>
      </c>
      <c r="J17" s="2">
        <v>1</v>
      </c>
    </row>
    <row r="19" spans="1:10" ht="43.5" customHeight="1" x14ac:dyDescent="0.25">
      <c r="D19" s="8" t="str">
        <f t="shared" ref="D19:F19" si="2">D3</f>
        <v>600dne</v>
      </c>
      <c r="E19" s="8" t="str">
        <f t="shared" si="2"/>
        <v>150D #236</v>
      </c>
      <c r="F19" s="8" t="str">
        <f t="shared" si="2"/>
        <v>150D суровая</v>
      </c>
      <c r="G19" s="4" t="str">
        <f>G3</f>
        <v>20 текс</v>
      </c>
      <c r="H19" s="4" t="str">
        <f t="shared" ref="H19:J19" si="3">H3</f>
        <v>300dne</v>
      </c>
      <c r="I19" s="4" t="str">
        <f t="shared" si="3"/>
        <v>150D #327</v>
      </c>
      <c r="J19" s="4" t="str">
        <f t="shared" si="3"/>
        <v>18,8 №135</v>
      </c>
    </row>
    <row r="20" spans="1:10" x14ac:dyDescent="0.25">
      <c r="A20" s="141" t="str">
        <f>A4</f>
        <v xml:space="preserve">Производство 5042 от 21.10.2025 </v>
      </c>
      <c r="B20" s="141"/>
      <c r="D20">
        <f>ROUND(D4,3)</f>
        <v>27.675000000000001</v>
      </c>
      <c r="E20">
        <f t="shared" ref="E20:G20" si="4">ROUND(E4,3)</f>
        <v>13.577999999999999</v>
      </c>
      <c r="F20">
        <f t="shared" si="4"/>
        <v>22.085999999999999</v>
      </c>
      <c r="G20">
        <f t="shared" si="4"/>
        <v>28.916</v>
      </c>
      <c r="H20">
        <f t="shared" ref="H20:J20" si="5">ROUND(H4,3)</f>
        <v>17.565000000000001</v>
      </c>
      <c r="I20">
        <f t="shared" si="5"/>
        <v>0.45600000000000002</v>
      </c>
      <c r="J20">
        <f t="shared" si="5"/>
        <v>0.45600000000000002</v>
      </c>
    </row>
    <row r="21" spans="1:10" x14ac:dyDescent="0.25">
      <c r="A21" s="141" t="str">
        <f t="shared" ref="A21:A32" si="6">A5</f>
        <v xml:space="preserve">Производство 5116 от 22.10.2025 </v>
      </c>
      <c r="B21" s="141"/>
      <c r="D21">
        <f t="shared" ref="D21:G32" si="7">ROUND(D5,3)</f>
        <v>6.3440000000000003</v>
      </c>
      <c r="E21">
        <f t="shared" si="7"/>
        <v>3.1120000000000001</v>
      </c>
      <c r="F21">
        <f t="shared" si="7"/>
        <v>5.0629999999999997</v>
      </c>
      <c r="G21">
        <f t="shared" si="7"/>
        <v>6.6280000000000001</v>
      </c>
      <c r="H21">
        <f t="shared" ref="H21:J21" si="8">ROUND(H5,3)</f>
        <v>4.0259999999999998</v>
      </c>
      <c r="I21">
        <f t="shared" si="8"/>
        <v>0.105</v>
      </c>
      <c r="J21">
        <f t="shared" si="8"/>
        <v>0.105</v>
      </c>
    </row>
    <row r="22" spans="1:10" x14ac:dyDescent="0.25">
      <c r="A22" s="141" t="str">
        <f t="shared" si="6"/>
        <v xml:space="preserve">Производство 5134 от 23.10.2025 </v>
      </c>
      <c r="B22" s="141"/>
      <c r="D22">
        <f t="shared" si="7"/>
        <v>1.7669999999999999</v>
      </c>
      <c r="E22">
        <f t="shared" si="7"/>
        <v>0.86699999999999999</v>
      </c>
      <c r="F22">
        <f t="shared" si="7"/>
        <v>1.41</v>
      </c>
      <c r="G22">
        <f t="shared" si="7"/>
        <v>1.8460000000000001</v>
      </c>
      <c r="H22">
        <f t="shared" ref="H22:J22" si="9">ROUND(H6,3)</f>
        <v>1.121</v>
      </c>
      <c r="I22">
        <f t="shared" si="9"/>
        <v>2.9000000000000001E-2</v>
      </c>
      <c r="J22">
        <f t="shared" si="9"/>
        <v>2.9000000000000001E-2</v>
      </c>
    </row>
    <row r="23" spans="1:10" ht="15.75" thickBot="1" x14ac:dyDescent="0.3">
      <c r="A23" s="141" t="str">
        <f t="shared" si="6"/>
        <v xml:space="preserve">Производство 5063 от 21.10.2025 </v>
      </c>
      <c r="B23" s="141"/>
      <c r="D23">
        <f t="shared" si="7"/>
        <v>24.873999999999999</v>
      </c>
      <c r="E23">
        <f t="shared" si="7"/>
        <v>12.202999999999999</v>
      </c>
      <c r="F23">
        <f t="shared" si="7"/>
        <v>19.850999999999999</v>
      </c>
      <c r="G23">
        <f t="shared" si="7"/>
        <v>25.989000000000001</v>
      </c>
      <c r="H23">
        <f t="shared" ref="H23:J23" si="10">ROUND(H7,3)</f>
        <v>15.787000000000001</v>
      </c>
      <c r="I23">
        <f t="shared" si="10"/>
        <v>0.41</v>
      </c>
      <c r="J23">
        <f t="shared" si="10"/>
        <v>0.41</v>
      </c>
    </row>
    <row r="24" spans="1:10" hidden="1" x14ac:dyDescent="0.25">
      <c r="A24" s="141">
        <f t="shared" si="6"/>
        <v>0</v>
      </c>
      <c r="B24" s="141"/>
      <c r="D24">
        <f t="shared" si="7"/>
        <v>0</v>
      </c>
      <c r="E24">
        <f t="shared" si="7"/>
        <v>0</v>
      </c>
      <c r="F24">
        <f t="shared" si="7"/>
        <v>0</v>
      </c>
      <c r="G24">
        <f t="shared" si="7"/>
        <v>0</v>
      </c>
      <c r="H24">
        <f t="shared" ref="H24:J24" si="11">ROUND(H8,3)</f>
        <v>0</v>
      </c>
      <c r="I24">
        <f t="shared" si="11"/>
        <v>0</v>
      </c>
      <c r="J24">
        <f t="shared" si="11"/>
        <v>0</v>
      </c>
    </row>
    <row r="25" spans="1:10" hidden="1" x14ac:dyDescent="0.25">
      <c r="A25" s="141">
        <f t="shared" si="6"/>
        <v>0</v>
      </c>
      <c r="B25" s="141"/>
      <c r="D25">
        <f t="shared" si="7"/>
        <v>0</v>
      </c>
      <c r="E25">
        <f t="shared" si="7"/>
        <v>0</v>
      </c>
      <c r="F25">
        <f t="shared" si="7"/>
        <v>0</v>
      </c>
      <c r="G25">
        <f t="shared" si="7"/>
        <v>0</v>
      </c>
      <c r="H25">
        <f t="shared" ref="H25:J25" si="12">ROUND(H9,3)</f>
        <v>0</v>
      </c>
      <c r="I25">
        <f t="shared" si="12"/>
        <v>0</v>
      </c>
      <c r="J25">
        <f t="shared" si="12"/>
        <v>0</v>
      </c>
    </row>
    <row r="26" spans="1:10" hidden="1" x14ac:dyDescent="0.25">
      <c r="A26" s="141">
        <f t="shared" si="6"/>
        <v>0</v>
      </c>
      <c r="B26" s="141"/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ref="H26:J26" si="13">ROUND(H10,3)</f>
        <v>0</v>
      </c>
      <c r="I26">
        <f t="shared" si="13"/>
        <v>0</v>
      </c>
      <c r="J26">
        <f t="shared" si="13"/>
        <v>0</v>
      </c>
    </row>
    <row r="27" spans="1:10" hidden="1" x14ac:dyDescent="0.25">
      <c r="A27" s="141">
        <f t="shared" si="6"/>
        <v>0</v>
      </c>
      <c r="B27" s="141"/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ref="H27:J27" si="14">ROUND(H11,3)</f>
        <v>0</v>
      </c>
      <c r="I27">
        <f t="shared" si="14"/>
        <v>0</v>
      </c>
      <c r="J27">
        <f t="shared" si="14"/>
        <v>0</v>
      </c>
    </row>
    <row r="28" spans="1:10" hidden="1" x14ac:dyDescent="0.25">
      <c r="A28" s="141">
        <f t="shared" si="6"/>
        <v>0</v>
      </c>
      <c r="B28" s="141"/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ref="H28:J28" si="15">ROUND(H12,3)</f>
        <v>0</v>
      </c>
      <c r="I28">
        <f t="shared" si="15"/>
        <v>0</v>
      </c>
      <c r="J28">
        <f t="shared" si="15"/>
        <v>0</v>
      </c>
    </row>
    <row r="29" spans="1:10" hidden="1" x14ac:dyDescent="0.25">
      <c r="A29" s="141">
        <f t="shared" si="6"/>
        <v>0</v>
      </c>
      <c r="B29" s="141"/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ref="H29:J29" si="16">ROUND(H13,3)</f>
        <v>0</v>
      </c>
      <c r="I29">
        <f t="shared" si="16"/>
        <v>0</v>
      </c>
      <c r="J29">
        <f t="shared" si="16"/>
        <v>0</v>
      </c>
    </row>
    <row r="30" spans="1:10" hidden="1" x14ac:dyDescent="0.25">
      <c r="A30" s="141">
        <f t="shared" si="6"/>
        <v>0</v>
      </c>
      <c r="B30" s="141"/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ref="H30:J30" si="17">ROUND(H14,3)</f>
        <v>0</v>
      </c>
      <c r="I30">
        <f t="shared" si="17"/>
        <v>0</v>
      </c>
      <c r="J30">
        <f t="shared" si="17"/>
        <v>0</v>
      </c>
    </row>
    <row r="31" spans="1:10" hidden="1" x14ac:dyDescent="0.25">
      <c r="A31" s="141">
        <f t="shared" si="6"/>
        <v>0</v>
      </c>
      <c r="B31" s="141"/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ref="H31:J31" si="18">ROUND(H15,3)</f>
        <v>0</v>
      </c>
      <c r="I31">
        <f t="shared" si="18"/>
        <v>0</v>
      </c>
      <c r="J31">
        <f t="shared" si="18"/>
        <v>0</v>
      </c>
    </row>
    <row r="32" spans="1:10" ht="15.75" hidden="1" thickBot="1" x14ac:dyDescent="0.3">
      <c r="A32" s="141">
        <f t="shared" si="6"/>
        <v>0</v>
      </c>
      <c r="B32" s="141"/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ref="H32:J32" si="19">ROUND(H16,3)</f>
        <v>0</v>
      </c>
      <c r="I32">
        <f t="shared" si="19"/>
        <v>0</v>
      </c>
      <c r="J32">
        <f t="shared" si="19"/>
        <v>0</v>
      </c>
    </row>
    <row r="33" spans="1:10" ht="15" customHeight="1" x14ac:dyDescent="0.25">
      <c r="A33" s="137" t="s">
        <v>6</v>
      </c>
      <c r="B33" s="137"/>
      <c r="D33" s="2">
        <f>SUM(D20:D32)</f>
        <v>60.66</v>
      </c>
      <c r="E33" s="2">
        <f t="shared" ref="E33:G33" si="20">SUM(E20:E32)</f>
        <v>29.759999999999998</v>
      </c>
      <c r="F33" s="2">
        <f t="shared" si="20"/>
        <v>48.41</v>
      </c>
      <c r="G33" s="2">
        <f t="shared" si="20"/>
        <v>63.379000000000005</v>
      </c>
      <c r="H33" s="2">
        <f t="shared" ref="H33:J33" si="21">SUM(H20:H32)</f>
        <v>38.499000000000002</v>
      </c>
      <c r="I33" s="2">
        <f t="shared" si="21"/>
        <v>1</v>
      </c>
      <c r="J33" s="2">
        <f t="shared" si="21"/>
        <v>1</v>
      </c>
    </row>
    <row r="37" spans="1:10" x14ac:dyDescent="0.25">
      <c r="A37" t="s">
        <v>47</v>
      </c>
      <c r="D37" s="10">
        <f>D20+D21+D22</f>
        <v>35.786000000000001</v>
      </c>
      <c r="E37" s="10">
        <f t="shared" ref="E37:J37" si="22">E20+E21+E22</f>
        <v>17.556999999999999</v>
      </c>
      <c r="F37" s="10">
        <f t="shared" si="22"/>
        <v>28.558999999999997</v>
      </c>
      <c r="G37" s="10">
        <f t="shared" si="22"/>
        <v>37.39</v>
      </c>
      <c r="H37" s="10">
        <f t="shared" si="22"/>
        <v>22.712</v>
      </c>
      <c r="I37" s="10">
        <f t="shared" si="22"/>
        <v>0.59000000000000008</v>
      </c>
      <c r="J37" s="10">
        <f t="shared" si="22"/>
        <v>0.59000000000000008</v>
      </c>
    </row>
    <row r="39" spans="1:10" x14ac:dyDescent="0.25">
      <c r="A39" t="s">
        <v>48</v>
      </c>
      <c r="D39" s="10">
        <f>D17-D37</f>
        <v>24.873999999999995</v>
      </c>
      <c r="E39" s="10">
        <f t="shared" ref="E39:J39" si="23">E17-E37</f>
        <v>12.203000000000003</v>
      </c>
      <c r="F39" s="10">
        <f t="shared" si="23"/>
        <v>19.850999999999999</v>
      </c>
      <c r="G39" s="10">
        <f t="shared" si="23"/>
        <v>25.990000000000002</v>
      </c>
      <c r="H39" s="10">
        <f t="shared" si="23"/>
        <v>15.788</v>
      </c>
      <c r="I39" s="10">
        <f t="shared" si="23"/>
        <v>0.40999999999999992</v>
      </c>
      <c r="J39" s="10">
        <f t="shared" si="23"/>
        <v>0.40999999999999992</v>
      </c>
    </row>
  </sheetData>
  <mergeCells count="29">
    <mergeCell ref="A1:E1"/>
    <mergeCell ref="A8:B8"/>
    <mergeCell ref="A6:B6"/>
    <mergeCell ref="A7:B7"/>
    <mergeCell ref="A26:B26"/>
    <mergeCell ref="A4:B4"/>
    <mergeCell ref="A5:B5"/>
    <mergeCell ref="A9:B9"/>
    <mergeCell ref="A10:B10"/>
    <mergeCell ref="A11:B11"/>
    <mergeCell ref="A12:B12"/>
    <mergeCell ref="A13:B13"/>
    <mergeCell ref="A14:B14"/>
    <mergeCell ref="A27:B27"/>
    <mergeCell ref="A28:B28"/>
    <mergeCell ref="A15:B15"/>
    <mergeCell ref="A16:B16"/>
    <mergeCell ref="A17:B17"/>
    <mergeCell ref="A20:B20"/>
    <mergeCell ref="A21:B21"/>
    <mergeCell ref="A22:B22"/>
    <mergeCell ref="A23:B23"/>
    <mergeCell ref="A24:B24"/>
    <mergeCell ref="A25:B25"/>
    <mergeCell ref="A29:B29"/>
    <mergeCell ref="A30:B30"/>
    <mergeCell ref="A31:B31"/>
    <mergeCell ref="A32:B32"/>
    <mergeCell ref="A33:B33"/>
  </mergeCells>
  <pageMargins left="0.70866141732283472" right="0.70866141732283472" top="0.74803149606299213" bottom="0.74803149606299213" header="0.31496062992125984" footer="0.31496062992125984"/>
  <pageSetup paperSize="9"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workbookViewId="0">
      <selection activeCell="E42" sqref="E42"/>
    </sheetView>
  </sheetViews>
  <sheetFormatPr defaultRowHeight="15" x14ac:dyDescent="0.25"/>
  <cols>
    <col min="1" max="1" width="27.5703125" customWidth="1"/>
    <col min="4" max="4" width="19.5703125" customWidth="1"/>
    <col min="5" max="5" width="15.28515625" customWidth="1"/>
    <col min="6" max="6" width="16.5703125" hidden="1" customWidth="1"/>
    <col min="7" max="8" width="0" hidden="1" customWidth="1"/>
    <col min="9" max="10" width="10.5703125" hidden="1" customWidth="1"/>
  </cols>
  <sheetData>
    <row r="1" spans="1:10" x14ac:dyDescent="0.25">
      <c r="A1" s="138" t="s">
        <v>49</v>
      </c>
      <c r="B1" s="138"/>
      <c r="C1" s="138"/>
      <c r="D1" s="138"/>
      <c r="E1" s="138"/>
    </row>
    <row r="3" spans="1:10" x14ac:dyDescent="0.25">
      <c r="D3" s="8" t="s">
        <v>44</v>
      </c>
      <c r="E3" s="8" t="s">
        <v>42</v>
      </c>
      <c r="F3" s="8"/>
      <c r="G3" s="4"/>
      <c r="H3" s="4"/>
      <c r="I3" s="4"/>
      <c r="J3" s="4"/>
    </row>
    <row r="4" spans="1:10" ht="15" customHeight="1" x14ac:dyDescent="0.25">
      <c r="A4" s="143" t="s">
        <v>50</v>
      </c>
      <c r="B4" s="143"/>
      <c r="C4" s="16">
        <v>128.69999999999999</v>
      </c>
      <c r="D4">
        <f t="shared" ref="D4:J16" si="0">$C4/$C$17*D$17</f>
        <v>15.310047287748667</v>
      </c>
      <c r="E4">
        <f t="shared" si="0"/>
        <v>47.488933579736923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</row>
    <row r="5" spans="1:10" ht="15" customHeight="1" x14ac:dyDescent="0.25">
      <c r="A5" s="143" t="s">
        <v>51</v>
      </c>
      <c r="B5" s="143"/>
      <c r="C5" s="17">
        <v>1060.6199999999999</v>
      </c>
      <c r="D5">
        <f t="shared" si="0"/>
        <v>126.17049226365182</v>
      </c>
      <c r="E5">
        <f t="shared" si="0"/>
        <v>391.35751929557557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43" t="s">
        <v>52</v>
      </c>
      <c r="B6" s="143"/>
      <c r="C6" s="16">
        <v>557.84</v>
      </c>
      <c r="D6">
        <f t="shared" si="0"/>
        <v>66.360192533004806</v>
      </c>
      <c r="E6">
        <f t="shared" si="0"/>
        <v>205.83703735913326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hidden="1" customHeight="1" x14ac:dyDescent="0.25">
      <c r="A7" s="143" t="s">
        <v>53</v>
      </c>
      <c r="B7" s="143"/>
      <c r="C7" s="18"/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x14ac:dyDescent="0.25">
      <c r="A8" s="143" t="s">
        <v>54</v>
      </c>
      <c r="B8" s="143"/>
      <c r="C8" s="16">
        <v>630.49</v>
      </c>
      <c r="D8">
        <f t="shared" si="0"/>
        <v>75.002577423874584</v>
      </c>
      <c r="E8">
        <f t="shared" si="0"/>
        <v>232.64411602710442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x14ac:dyDescent="0.25">
      <c r="A9" s="143" t="s">
        <v>55</v>
      </c>
      <c r="B9" s="143"/>
      <c r="C9" s="16">
        <v>653.66999999999996</v>
      </c>
      <c r="D9">
        <f t="shared" si="0"/>
        <v>77.760051364278723</v>
      </c>
      <c r="E9">
        <f t="shared" si="0"/>
        <v>241.1972899228177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idden="1" x14ac:dyDescent="0.25">
      <c r="A10" s="143" t="s">
        <v>56</v>
      </c>
      <c r="B10" s="143"/>
      <c r="C10" s="18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" customHeight="1" thickBot="1" x14ac:dyDescent="0.3">
      <c r="A11" s="143" t="s">
        <v>57</v>
      </c>
      <c r="B11" s="143"/>
      <c r="C11" s="16">
        <v>280.32</v>
      </c>
      <c r="D11">
        <f>$C11/$C$17*D$17</f>
        <v>33.346639127441392</v>
      </c>
      <c r="E11">
        <f>$C11/$C$17*E$17</f>
        <v>103.43510381563215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1"/>
      <c r="B12" s="141"/>
      <c r="C12" s="11"/>
      <c r="D12">
        <f t="shared" ref="D12:E16" si="1">$C12/$C$17*D$17</f>
        <v>0</v>
      </c>
      <c r="E12">
        <f t="shared" si="1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1"/>
      <c r="B13" s="141"/>
      <c r="C13" s="11"/>
      <c r="D13">
        <f t="shared" si="1"/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1"/>
      <c r="B14" s="141"/>
      <c r="C14" s="11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1"/>
      <c r="B15" s="141"/>
      <c r="C15" s="11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.75" hidden="1" customHeight="1" thickBot="1" x14ac:dyDescent="0.3">
      <c r="A16" s="141"/>
      <c r="B16" s="141"/>
      <c r="C16" s="11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x14ac:dyDescent="0.25">
      <c r="A17" s="137" t="s">
        <v>6</v>
      </c>
      <c r="B17" s="137"/>
      <c r="C17" s="12">
        <f>SUM(C4:C16)</f>
        <v>3311.64</v>
      </c>
      <c r="D17" s="2">
        <v>393.95</v>
      </c>
      <c r="E17" s="2">
        <v>1221.96</v>
      </c>
      <c r="F17" s="2"/>
      <c r="G17" s="2"/>
      <c r="H17" s="2"/>
      <c r="I17" s="2"/>
      <c r="J17" s="2"/>
    </row>
    <row r="19" spans="1:10" ht="43.5" customHeight="1" x14ac:dyDescent="0.25">
      <c r="D19" s="8" t="str">
        <f t="shared" ref="D19:F19" si="2">D3</f>
        <v>300dne</v>
      </c>
      <c r="E19" s="8" t="str">
        <f t="shared" si="2"/>
        <v>150D суровая</v>
      </c>
      <c r="F19" s="8">
        <f t="shared" si="2"/>
        <v>0</v>
      </c>
      <c r="G19" s="4">
        <f>G3</f>
        <v>0</v>
      </c>
      <c r="H19" s="4">
        <f t="shared" ref="H19:J19" si="3">H3</f>
        <v>0</v>
      </c>
      <c r="I19" s="4">
        <f t="shared" si="3"/>
        <v>0</v>
      </c>
      <c r="J19" s="4">
        <f t="shared" si="3"/>
        <v>0</v>
      </c>
    </row>
    <row r="20" spans="1:10" x14ac:dyDescent="0.25">
      <c r="A20" s="141" t="str">
        <f>A4</f>
        <v xml:space="preserve">Производство 4937 от 17.10.2025 </v>
      </c>
      <c r="B20" s="141"/>
      <c r="D20">
        <f>ROUND(D4,3)</f>
        <v>15.31</v>
      </c>
      <c r="E20">
        <f t="shared" ref="E20:J32" si="4">ROUND(E4,3)</f>
        <v>47.488999999999997</v>
      </c>
      <c r="F20">
        <f t="shared" si="4"/>
        <v>0</v>
      </c>
      <c r="G20">
        <f t="shared" si="4"/>
        <v>0</v>
      </c>
      <c r="H20">
        <f t="shared" si="4"/>
        <v>0</v>
      </c>
      <c r="I20">
        <f t="shared" si="4"/>
        <v>0</v>
      </c>
      <c r="J20">
        <f t="shared" si="4"/>
        <v>0</v>
      </c>
    </row>
    <row r="21" spans="1:10" x14ac:dyDescent="0.25">
      <c r="A21" s="141" t="str">
        <f t="shared" ref="A21:A32" si="5">A5</f>
        <v xml:space="preserve">Производство 4980 от 20.10.2025 </v>
      </c>
      <c r="B21" s="141"/>
      <c r="D21">
        <f t="shared" ref="D21:G32" si="6">ROUND(D5,3)</f>
        <v>126.17</v>
      </c>
      <c r="E21">
        <f t="shared" si="6"/>
        <v>391.358</v>
      </c>
      <c r="F21">
        <f t="shared" si="6"/>
        <v>0</v>
      </c>
      <c r="G21">
        <f t="shared" si="6"/>
        <v>0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si="5"/>
        <v xml:space="preserve">Производство 5022 от 21.10.2025 </v>
      </c>
      <c r="B22" s="141"/>
      <c r="D22">
        <f t="shared" si="6"/>
        <v>66.36</v>
      </c>
      <c r="E22">
        <f t="shared" si="6"/>
        <v>205.83699999999999</v>
      </c>
      <c r="F22">
        <f t="shared" si="6"/>
        <v>0</v>
      </c>
      <c r="G22">
        <f t="shared" si="6"/>
        <v>0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hidden="1" x14ac:dyDescent="0.25">
      <c r="A23" s="141" t="str">
        <f t="shared" si="5"/>
        <v xml:space="preserve">Производство 5025 от 21.10.2025 </v>
      </c>
      <c r="B23" s="141"/>
      <c r="D23">
        <f t="shared" si="6"/>
        <v>0</v>
      </c>
      <c r="E23">
        <f t="shared" si="6"/>
        <v>0</v>
      </c>
      <c r="F23">
        <f t="shared" si="6"/>
        <v>0</v>
      </c>
      <c r="G23">
        <f t="shared" si="6"/>
        <v>0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x14ac:dyDescent="0.25">
      <c r="A24" s="141" t="str">
        <f t="shared" si="5"/>
        <v xml:space="preserve">Производство 5120 от 22.10.2025 </v>
      </c>
      <c r="B24" s="141"/>
      <c r="D24">
        <f t="shared" si="6"/>
        <v>75.003</v>
      </c>
      <c r="E24">
        <f t="shared" si="6"/>
        <v>232.64400000000001</v>
      </c>
      <c r="F24">
        <f t="shared" si="6"/>
        <v>0</v>
      </c>
      <c r="G24">
        <f t="shared" si="6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x14ac:dyDescent="0.25">
      <c r="A25" s="141" t="str">
        <f t="shared" si="5"/>
        <v xml:space="preserve">Производство 5135 от 23.10.2025 </v>
      </c>
      <c r="B25" s="141"/>
      <c r="D25">
        <f t="shared" si="6"/>
        <v>77.760000000000005</v>
      </c>
      <c r="E25">
        <f t="shared" si="6"/>
        <v>241.197</v>
      </c>
      <c r="F25">
        <f t="shared" si="6"/>
        <v>0</v>
      </c>
      <c r="G25">
        <f t="shared" si="6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idden="1" x14ac:dyDescent="0.25">
      <c r="A26" s="141" t="str">
        <f t="shared" si="5"/>
        <v xml:space="preserve">Производство 5210 от 24.10.2025 </v>
      </c>
      <c r="B26" s="141"/>
      <c r="D26">
        <f t="shared" si="6"/>
        <v>0</v>
      </c>
      <c r="E26">
        <f t="shared" si="6"/>
        <v>0</v>
      </c>
      <c r="F26">
        <f t="shared" si="6"/>
        <v>0</v>
      </c>
      <c r="G26">
        <f t="shared" si="6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t="15.75" thickBot="1" x14ac:dyDescent="0.3">
      <c r="A27" s="141" t="str">
        <f t="shared" si="5"/>
        <v xml:space="preserve">Производство 5222 от 24.10.2025 </v>
      </c>
      <c r="B27" s="141"/>
      <c r="D27">
        <f t="shared" si="6"/>
        <v>33.347000000000001</v>
      </c>
      <c r="E27">
        <f t="shared" si="6"/>
        <v>103.435</v>
      </c>
      <c r="F27">
        <f t="shared" si="6"/>
        <v>0</v>
      </c>
      <c r="G27">
        <f t="shared" si="6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idden="1" x14ac:dyDescent="0.25">
      <c r="A28" s="141">
        <f t="shared" si="5"/>
        <v>0</v>
      </c>
      <c r="B28" s="141"/>
      <c r="D28">
        <f t="shared" si="6"/>
        <v>0</v>
      </c>
      <c r="E28">
        <f t="shared" si="6"/>
        <v>0</v>
      </c>
      <c r="F28">
        <f t="shared" si="6"/>
        <v>0</v>
      </c>
      <c r="G28">
        <f t="shared" si="6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idden="1" x14ac:dyDescent="0.25">
      <c r="A29" s="141">
        <f t="shared" si="5"/>
        <v>0</v>
      </c>
      <c r="B29" s="141"/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idden="1" x14ac:dyDescent="0.25">
      <c r="A30" s="141">
        <f t="shared" si="5"/>
        <v>0</v>
      </c>
      <c r="B30" s="141"/>
      <c r="D30">
        <f t="shared" si="6"/>
        <v>0</v>
      </c>
      <c r="E30">
        <f t="shared" si="6"/>
        <v>0</v>
      </c>
      <c r="F30">
        <f t="shared" si="6"/>
        <v>0</v>
      </c>
      <c r="G30">
        <f t="shared" si="6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idden="1" x14ac:dyDescent="0.25">
      <c r="A31" s="141">
        <f t="shared" si="5"/>
        <v>0</v>
      </c>
      <c r="B31" s="141"/>
      <c r="D31">
        <f t="shared" si="6"/>
        <v>0</v>
      </c>
      <c r="E31">
        <f t="shared" si="6"/>
        <v>0</v>
      </c>
      <c r="F31">
        <f t="shared" si="6"/>
        <v>0</v>
      </c>
      <c r="G31">
        <f t="shared" si="6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t="15.75" hidden="1" thickBot="1" x14ac:dyDescent="0.3">
      <c r="A32" s="141">
        <f t="shared" si="5"/>
        <v>0</v>
      </c>
      <c r="B32" s="141"/>
      <c r="D32">
        <f t="shared" si="6"/>
        <v>0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" customHeight="1" x14ac:dyDescent="0.25">
      <c r="A33" s="137" t="s">
        <v>6</v>
      </c>
      <c r="B33" s="137"/>
      <c r="D33" s="2">
        <f>SUM(D20:D32)</f>
        <v>393.94999999999993</v>
      </c>
      <c r="E33" s="2">
        <f t="shared" ref="E33:J33" si="7">SUM(E20:E32)</f>
        <v>1221.96</v>
      </c>
      <c r="F33" s="2">
        <f t="shared" si="7"/>
        <v>0</v>
      </c>
      <c r="G33" s="2">
        <f t="shared" si="7"/>
        <v>0</v>
      </c>
      <c r="H33" s="2">
        <f t="shared" si="7"/>
        <v>0</v>
      </c>
      <c r="I33" s="2">
        <f t="shared" si="7"/>
        <v>0</v>
      </c>
      <c r="J33" s="2">
        <f t="shared" si="7"/>
        <v>0</v>
      </c>
    </row>
    <row r="37" spans="1:10" x14ac:dyDescent="0.25">
      <c r="D37" s="13"/>
      <c r="E37" s="13"/>
      <c r="F37" s="13"/>
      <c r="G37" s="13"/>
      <c r="H37" s="13"/>
      <c r="I37" s="13"/>
      <c r="J37" s="13"/>
    </row>
    <row r="39" spans="1:10" x14ac:dyDescent="0.25">
      <c r="D39" s="13"/>
      <c r="E39" s="13"/>
      <c r="F39" s="13"/>
      <c r="G39" s="13"/>
      <c r="H39" s="13"/>
      <c r="I39" s="13"/>
      <c r="J39" s="13"/>
    </row>
  </sheetData>
  <mergeCells count="29">
    <mergeCell ref="A29:B29"/>
    <mergeCell ref="A30:B30"/>
    <mergeCell ref="A31:B31"/>
    <mergeCell ref="A32:B32"/>
    <mergeCell ref="A33:B33"/>
    <mergeCell ref="A28:B28"/>
    <mergeCell ref="A15:B15"/>
    <mergeCell ref="A16:B16"/>
    <mergeCell ref="A17:B17"/>
    <mergeCell ref="A20:B20"/>
    <mergeCell ref="A21:B21"/>
    <mergeCell ref="A22:B22"/>
    <mergeCell ref="A23:B23"/>
    <mergeCell ref="A24:B24"/>
    <mergeCell ref="A25:B25"/>
    <mergeCell ref="A26:B26"/>
    <mergeCell ref="A27:B27"/>
    <mergeCell ref="A1:E1"/>
    <mergeCell ref="A12:B12"/>
    <mergeCell ref="A13:B13"/>
    <mergeCell ref="A14:B14"/>
    <mergeCell ref="A9:B9"/>
    <mergeCell ref="A10:B10"/>
    <mergeCell ref="A11:B11"/>
    <mergeCell ref="A4:B4"/>
    <mergeCell ref="A5:B5"/>
    <mergeCell ref="A6:B6"/>
    <mergeCell ref="A7:B7"/>
    <mergeCell ref="A8:B8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workbookViewId="0">
      <selection activeCell="E35" sqref="E35"/>
    </sheetView>
  </sheetViews>
  <sheetFormatPr defaultRowHeight="15" x14ac:dyDescent="0.25"/>
  <cols>
    <col min="1" max="1" width="27.5703125" customWidth="1"/>
    <col min="4" max="4" width="16.28515625" customWidth="1"/>
    <col min="5" max="5" width="15.28515625" customWidth="1"/>
    <col min="6" max="6" width="12.28515625" customWidth="1"/>
    <col min="7" max="7" width="15.8554687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58</v>
      </c>
      <c r="B1" s="138"/>
      <c r="C1" s="138"/>
      <c r="D1" s="138"/>
      <c r="E1" s="138"/>
    </row>
    <row r="3" spans="1:10" ht="30" x14ac:dyDescent="0.25">
      <c r="D3" s="8" t="s">
        <v>42</v>
      </c>
      <c r="E3" s="8" t="s">
        <v>7</v>
      </c>
      <c r="F3" s="8" t="s">
        <v>59</v>
      </c>
      <c r="G3" s="8" t="s">
        <v>60</v>
      </c>
      <c r="H3" s="4"/>
      <c r="I3" s="4"/>
      <c r="J3" s="4"/>
    </row>
    <row r="4" spans="1:10" ht="15" customHeight="1" x14ac:dyDescent="0.25">
      <c r="A4" s="144" t="s">
        <v>61</v>
      </c>
      <c r="B4" s="144"/>
      <c r="C4" s="20">
        <v>180.46</v>
      </c>
      <c r="D4">
        <f t="shared" ref="D4:J16" si="0">$C4/$C$17*D$17</f>
        <v>18.829344344848423</v>
      </c>
      <c r="E4">
        <f t="shared" si="0"/>
        <v>47.630728841440899</v>
      </c>
      <c r="F4">
        <f t="shared" si="0"/>
        <v>43.153609964078292</v>
      </c>
      <c r="G4">
        <f t="shared" si="0"/>
        <v>22.912670628126364</v>
      </c>
      <c r="H4">
        <f t="shared" si="0"/>
        <v>0</v>
      </c>
      <c r="I4">
        <f t="shared" si="0"/>
        <v>0</v>
      </c>
      <c r="J4">
        <f t="shared" si="0"/>
        <v>0</v>
      </c>
    </row>
    <row r="5" spans="1:10" ht="15" customHeight="1" thickBot="1" x14ac:dyDescent="0.3">
      <c r="A5" s="144" t="s">
        <v>62</v>
      </c>
      <c r="B5" s="144"/>
      <c r="C5" s="20">
        <v>117.41</v>
      </c>
      <c r="D5">
        <f t="shared" si="0"/>
        <v>12.250655655151576</v>
      </c>
      <c r="E5">
        <f t="shared" si="0"/>
        <v>30.989271158559106</v>
      </c>
      <c r="F5">
        <f t="shared" si="0"/>
        <v>28.076390035921712</v>
      </c>
      <c r="G5">
        <f t="shared" si="0"/>
        <v>14.907329371873637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hidden="1" customHeight="1" x14ac:dyDescent="0.25">
      <c r="A6" s="143"/>
      <c r="B6" s="143"/>
      <c r="C6" s="16"/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hidden="1" customHeight="1" x14ac:dyDescent="0.25">
      <c r="A7" s="143"/>
      <c r="B7" s="143"/>
      <c r="C7" s="18"/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idden="1" x14ac:dyDescent="0.25">
      <c r="A8" s="143"/>
      <c r="B8" s="143"/>
      <c r="C8" s="16"/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idden="1" x14ac:dyDescent="0.25">
      <c r="A9" s="143"/>
      <c r="B9" s="143"/>
      <c r="C9" s="16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idden="1" x14ac:dyDescent="0.25">
      <c r="A10" s="143"/>
      <c r="B10" s="143"/>
      <c r="C10" s="18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" hidden="1" customHeight="1" thickBot="1" x14ac:dyDescent="0.3">
      <c r="A11" s="143"/>
      <c r="B11" s="143"/>
      <c r="C11" s="16"/>
      <c r="D11">
        <f>$C11/$C$17*D$17</f>
        <v>0</v>
      </c>
      <c r="E11">
        <f>$C11/$C$17*E$17</f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1"/>
      <c r="B12" s="141"/>
      <c r="C12" s="11"/>
      <c r="D12">
        <f t="shared" ref="D12:E16" si="1">$C12/$C$17*D$17</f>
        <v>0</v>
      </c>
      <c r="E12">
        <f t="shared" si="1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1"/>
      <c r="B13" s="141"/>
      <c r="C13" s="11"/>
      <c r="D13">
        <f t="shared" si="1"/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1"/>
      <c r="B14" s="141"/>
      <c r="C14" s="11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1"/>
      <c r="B15" s="141"/>
      <c r="C15" s="11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.75" hidden="1" customHeight="1" thickBot="1" x14ac:dyDescent="0.3">
      <c r="A16" s="141"/>
      <c r="B16" s="141"/>
      <c r="C16" s="11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x14ac:dyDescent="0.25">
      <c r="A17" s="137" t="s">
        <v>6</v>
      </c>
      <c r="B17" s="137"/>
      <c r="C17" s="12">
        <f>SUM(C4:C16)</f>
        <v>297.87</v>
      </c>
      <c r="D17" s="2">
        <v>31.08</v>
      </c>
      <c r="E17" s="2">
        <v>78.62</v>
      </c>
      <c r="F17" s="2">
        <v>71.23</v>
      </c>
      <c r="G17" s="2">
        <v>37.82</v>
      </c>
      <c r="H17" s="2"/>
      <c r="I17" s="2"/>
      <c r="J17" s="2"/>
    </row>
    <row r="19" spans="1:10" ht="43.5" customHeight="1" x14ac:dyDescent="0.25">
      <c r="D19" s="8" t="str">
        <f t="shared" ref="D19:F19" si="2">D3</f>
        <v>150D суровая</v>
      </c>
      <c r="E19" s="8" t="str">
        <f t="shared" si="2"/>
        <v>600dne</v>
      </c>
      <c r="F19" s="8" t="str">
        <f t="shared" si="2"/>
        <v>пряжа 20 текс</v>
      </c>
      <c r="G19" s="4" t="str">
        <f>G3</f>
        <v>Нить 150D/48 F №130</v>
      </c>
      <c r="H19" s="4">
        <f t="shared" ref="H19:J19" si="3">H3</f>
        <v>0</v>
      </c>
      <c r="I19" s="4">
        <f t="shared" si="3"/>
        <v>0</v>
      </c>
      <c r="J19" s="4">
        <f t="shared" si="3"/>
        <v>0</v>
      </c>
    </row>
    <row r="20" spans="1:10" x14ac:dyDescent="0.25">
      <c r="A20" s="141" t="str">
        <f>A4</f>
        <v xml:space="preserve">Производство 5543 от 05.11.2025 </v>
      </c>
      <c r="B20" s="141"/>
      <c r="D20">
        <f>ROUND(D4,3)</f>
        <v>18.829000000000001</v>
      </c>
      <c r="E20">
        <f t="shared" ref="E20:J32" si="4">ROUND(E4,3)</f>
        <v>47.631</v>
      </c>
      <c r="F20">
        <f t="shared" si="4"/>
        <v>43.154000000000003</v>
      </c>
      <c r="G20">
        <f t="shared" si="4"/>
        <v>22.913</v>
      </c>
      <c r="H20">
        <f t="shared" si="4"/>
        <v>0</v>
      </c>
      <c r="I20">
        <f t="shared" si="4"/>
        <v>0</v>
      </c>
      <c r="J20">
        <f t="shared" si="4"/>
        <v>0</v>
      </c>
    </row>
    <row r="21" spans="1:10" ht="15.75" thickBot="1" x14ac:dyDescent="0.3">
      <c r="A21" s="141" t="str">
        <f t="shared" ref="A21:A32" si="5">A5</f>
        <v xml:space="preserve">Производство 5603 от 06.11.2025 </v>
      </c>
      <c r="B21" s="141"/>
      <c r="D21">
        <f t="shared" ref="D21:G32" si="6">ROUND(D5,3)</f>
        <v>12.250999999999999</v>
      </c>
      <c r="E21">
        <f t="shared" si="6"/>
        <v>30.989000000000001</v>
      </c>
      <c r="F21">
        <f t="shared" si="6"/>
        <v>28.076000000000001</v>
      </c>
      <c r="G21">
        <f t="shared" si="6"/>
        <v>14.907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hidden="1" x14ac:dyDescent="0.25">
      <c r="A22" s="141">
        <f t="shared" si="5"/>
        <v>0</v>
      </c>
      <c r="B22" s="141"/>
      <c r="D22">
        <f t="shared" si="6"/>
        <v>0</v>
      </c>
      <c r="E22">
        <f t="shared" si="6"/>
        <v>0</v>
      </c>
      <c r="F22">
        <f t="shared" si="6"/>
        <v>0</v>
      </c>
      <c r="G22">
        <f t="shared" si="6"/>
        <v>0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hidden="1" x14ac:dyDescent="0.25">
      <c r="A23" s="141">
        <f t="shared" si="5"/>
        <v>0</v>
      </c>
      <c r="B23" s="141"/>
      <c r="D23">
        <f t="shared" si="6"/>
        <v>0</v>
      </c>
      <c r="E23">
        <f t="shared" si="6"/>
        <v>0</v>
      </c>
      <c r="F23">
        <f t="shared" si="6"/>
        <v>0</v>
      </c>
      <c r="G23">
        <f t="shared" si="6"/>
        <v>0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hidden="1" x14ac:dyDescent="0.25">
      <c r="A24" s="141">
        <f t="shared" si="5"/>
        <v>0</v>
      </c>
      <c r="B24" s="141"/>
      <c r="D24">
        <f t="shared" si="6"/>
        <v>0</v>
      </c>
      <c r="E24">
        <f t="shared" si="6"/>
        <v>0</v>
      </c>
      <c r="F24">
        <f t="shared" si="6"/>
        <v>0</v>
      </c>
      <c r="G24">
        <f t="shared" si="6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hidden="1" x14ac:dyDescent="0.25">
      <c r="A25" s="141">
        <f t="shared" si="5"/>
        <v>0</v>
      </c>
      <c r="B25" s="141"/>
      <c r="D25">
        <f t="shared" si="6"/>
        <v>0</v>
      </c>
      <c r="E25">
        <f t="shared" si="6"/>
        <v>0</v>
      </c>
      <c r="F25">
        <f t="shared" si="6"/>
        <v>0</v>
      </c>
      <c r="G25">
        <f t="shared" si="6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idden="1" x14ac:dyDescent="0.25">
      <c r="A26" s="141">
        <f t="shared" si="5"/>
        <v>0</v>
      </c>
      <c r="B26" s="141"/>
      <c r="D26">
        <f t="shared" si="6"/>
        <v>0</v>
      </c>
      <c r="E26">
        <f t="shared" si="6"/>
        <v>0</v>
      </c>
      <c r="F26">
        <f t="shared" si="6"/>
        <v>0</v>
      </c>
      <c r="G26">
        <f t="shared" si="6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t="15.75" hidden="1" thickBot="1" x14ac:dyDescent="0.3">
      <c r="A27" s="141">
        <f t="shared" si="5"/>
        <v>0</v>
      </c>
      <c r="B27" s="141"/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t="15.75" hidden="1" thickBot="1" x14ac:dyDescent="0.3">
      <c r="A28" s="141">
        <f t="shared" si="5"/>
        <v>0</v>
      </c>
      <c r="B28" s="141"/>
      <c r="D28">
        <f t="shared" si="6"/>
        <v>0</v>
      </c>
      <c r="E28">
        <f t="shared" si="6"/>
        <v>0</v>
      </c>
      <c r="F28">
        <f t="shared" si="6"/>
        <v>0</v>
      </c>
      <c r="G28">
        <f t="shared" si="6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t="15.75" hidden="1" thickBot="1" x14ac:dyDescent="0.3">
      <c r="A29" s="141">
        <f t="shared" si="5"/>
        <v>0</v>
      </c>
      <c r="B29" s="141"/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t="15.75" hidden="1" thickBot="1" x14ac:dyDescent="0.3">
      <c r="A30" s="141">
        <f t="shared" si="5"/>
        <v>0</v>
      </c>
      <c r="B30" s="141"/>
      <c r="D30">
        <f t="shared" si="6"/>
        <v>0</v>
      </c>
      <c r="E30">
        <f t="shared" si="6"/>
        <v>0</v>
      </c>
      <c r="F30">
        <f t="shared" si="6"/>
        <v>0</v>
      </c>
      <c r="G30">
        <f t="shared" si="6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t="15.75" hidden="1" thickBot="1" x14ac:dyDescent="0.3">
      <c r="A31" s="141">
        <f t="shared" si="5"/>
        <v>0</v>
      </c>
      <c r="B31" s="141"/>
      <c r="D31">
        <f t="shared" si="6"/>
        <v>0</v>
      </c>
      <c r="E31">
        <f t="shared" si="6"/>
        <v>0</v>
      </c>
      <c r="F31">
        <f t="shared" si="6"/>
        <v>0</v>
      </c>
      <c r="G31">
        <f t="shared" si="6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t="15.75" hidden="1" thickBot="1" x14ac:dyDescent="0.3">
      <c r="A32" s="141">
        <f t="shared" si="5"/>
        <v>0</v>
      </c>
      <c r="B32" s="141"/>
      <c r="D32">
        <f t="shared" si="6"/>
        <v>0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" customHeight="1" x14ac:dyDescent="0.25">
      <c r="A33" s="137" t="s">
        <v>6</v>
      </c>
      <c r="B33" s="137"/>
      <c r="D33" s="2">
        <f>SUM(D20:D32)</f>
        <v>31.08</v>
      </c>
      <c r="E33" s="2">
        <f t="shared" ref="E33:J33" si="7">SUM(E20:E32)</f>
        <v>78.62</v>
      </c>
      <c r="F33" s="2">
        <f t="shared" si="7"/>
        <v>71.23</v>
      </c>
      <c r="G33" s="2">
        <f t="shared" si="7"/>
        <v>37.82</v>
      </c>
      <c r="H33" s="2">
        <f t="shared" si="7"/>
        <v>0</v>
      </c>
      <c r="I33" s="2">
        <f t="shared" si="7"/>
        <v>0</v>
      </c>
      <c r="J33" s="2">
        <f t="shared" si="7"/>
        <v>0</v>
      </c>
    </row>
    <row r="37" spans="1:10" x14ac:dyDescent="0.25">
      <c r="D37" s="15"/>
      <c r="E37" s="15"/>
      <c r="F37" s="15"/>
      <c r="G37" s="15"/>
      <c r="H37" s="15"/>
      <c r="I37" s="15"/>
      <c r="J37" s="15"/>
    </row>
    <row r="39" spans="1:10" x14ac:dyDescent="0.25">
      <c r="D39" s="15"/>
      <c r="E39" s="15"/>
      <c r="F39" s="15"/>
      <c r="G39" s="15"/>
      <c r="H39" s="15"/>
      <c r="I39" s="15"/>
      <c r="J39" s="15"/>
    </row>
  </sheetData>
  <mergeCells count="29">
    <mergeCell ref="A1:E1"/>
    <mergeCell ref="A6:B6"/>
    <mergeCell ref="A7:B7"/>
    <mergeCell ref="A8:B8"/>
    <mergeCell ref="A26:B26"/>
    <mergeCell ref="A4:B4"/>
    <mergeCell ref="A5:B5"/>
    <mergeCell ref="A9:B9"/>
    <mergeCell ref="A10:B10"/>
    <mergeCell ref="A11:B11"/>
    <mergeCell ref="A12:B12"/>
    <mergeCell ref="A13:B13"/>
    <mergeCell ref="A14:B14"/>
    <mergeCell ref="A27:B27"/>
    <mergeCell ref="A28:B28"/>
    <mergeCell ref="A15:B15"/>
    <mergeCell ref="A16:B16"/>
    <mergeCell ref="A17:B17"/>
    <mergeCell ref="A20:B20"/>
    <mergeCell ref="A21:B21"/>
    <mergeCell ref="A22:B22"/>
    <mergeCell ref="A23:B23"/>
    <mergeCell ref="A24:B24"/>
    <mergeCell ref="A25:B25"/>
    <mergeCell ref="A29:B29"/>
    <mergeCell ref="A30:B30"/>
    <mergeCell ref="A31:B31"/>
    <mergeCell ref="A32:B32"/>
    <mergeCell ref="A33:B33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workbookViewId="0">
      <selection activeCell="L43" sqref="L43"/>
    </sheetView>
  </sheetViews>
  <sheetFormatPr defaultRowHeight="15" x14ac:dyDescent="0.25"/>
  <cols>
    <col min="1" max="1" width="27.5703125" customWidth="1"/>
    <col min="4" max="4" width="16.28515625" customWidth="1"/>
    <col min="5" max="5" width="15.28515625" customWidth="1"/>
    <col min="6" max="6" width="12.28515625" hidden="1" customWidth="1"/>
    <col min="7" max="7" width="15.85546875" hidden="1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63</v>
      </c>
      <c r="B1" s="138"/>
      <c r="C1" s="138"/>
      <c r="D1" s="138"/>
      <c r="E1" s="138"/>
    </row>
    <row r="3" spans="1:10" x14ac:dyDescent="0.25">
      <c r="D3" s="8" t="s">
        <v>7</v>
      </c>
      <c r="E3" s="8" t="s">
        <v>42</v>
      </c>
      <c r="F3" s="8"/>
      <c r="G3" s="8"/>
      <c r="H3" s="4"/>
      <c r="I3" s="4"/>
      <c r="J3" s="4"/>
    </row>
    <row r="4" spans="1:10" ht="15" customHeight="1" x14ac:dyDescent="0.25">
      <c r="A4" s="145" t="s">
        <v>64</v>
      </c>
      <c r="B4" s="145"/>
      <c r="C4" s="21">
        <v>794.35</v>
      </c>
      <c r="D4">
        <f t="shared" ref="D4:J16" si="0">$C4/$C$17*D$17</f>
        <v>163.87789115051595</v>
      </c>
      <c r="E4">
        <f t="shared" si="0"/>
        <v>209.58392487969471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</row>
    <row r="5" spans="1:10" ht="15" customHeight="1" x14ac:dyDescent="0.25">
      <c r="A5" s="145" t="s">
        <v>65</v>
      </c>
      <c r="B5" s="145"/>
      <c r="C5" s="21">
        <v>896.75</v>
      </c>
      <c r="D5">
        <f t="shared" si="0"/>
        <v>185.00346055167768</v>
      </c>
      <c r="E5">
        <f t="shared" si="0"/>
        <v>236.60147873842288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45" t="s">
        <v>66</v>
      </c>
      <c r="B6" s="145"/>
      <c r="C6" s="21">
        <v>332.85</v>
      </c>
      <c r="D6">
        <f t="shared" si="0"/>
        <v>68.668415773209844</v>
      </c>
      <c r="E6">
        <f t="shared" si="0"/>
        <v>87.820242205836706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45" t="s">
        <v>67</v>
      </c>
      <c r="B7" s="145"/>
      <c r="C7" s="21">
        <v>647.59</v>
      </c>
      <c r="D7">
        <f t="shared" si="0"/>
        <v>133.60065906736656</v>
      </c>
      <c r="E7">
        <f t="shared" si="0"/>
        <v>170.86228225950967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x14ac:dyDescent="0.25">
      <c r="A8" s="145" t="s">
        <v>68</v>
      </c>
      <c r="B8" s="145"/>
      <c r="C8" s="21">
        <v>990.75</v>
      </c>
      <c r="D8">
        <f t="shared" si="0"/>
        <v>204.39607308790039</v>
      </c>
      <c r="E8">
        <f t="shared" si="0"/>
        <v>261.40274888217732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x14ac:dyDescent="0.25">
      <c r="A9" s="145" t="s">
        <v>69</v>
      </c>
      <c r="B9" s="145"/>
      <c r="C9" s="21">
        <v>584.51</v>
      </c>
      <c r="D9">
        <f t="shared" si="0"/>
        <v>120.586978229229</v>
      </c>
      <c r="E9">
        <f t="shared" si="0"/>
        <v>154.21904693325402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x14ac:dyDescent="0.25">
      <c r="A10" s="145" t="s">
        <v>70</v>
      </c>
      <c r="B10" s="145"/>
      <c r="C10" s="21">
        <v>246.47</v>
      </c>
      <c r="D10">
        <f t="shared" si="0"/>
        <v>50.847842678753274</v>
      </c>
      <c r="E10">
        <f t="shared" si="0"/>
        <v>65.029458003522819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" customHeight="1" thickBot="1" x14ac:dyDescent="0.3">
      <c r="A11" s="145" t="s">
        <v>71</v>
      </c>
      <c r="B11" s="145"/>
      <c r="C11" s="21">
        <v>82.59</v>
      </c>
      <c r="D11">
        <f>$C11/$C$17*D$17</f>
        <v>17.038679461347154</v>
      </c>
      <c r="E11">
        <f>$C11/$C$17*E$17</f>
        <v>21.790818097581656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1"/>
      <c r="B12" s="141"/>
      <c r="C12" s="11"/>
      <c r="D12">
        <f t="shared" ref="D12:E16" si="1">$C12/$C$17*D$17</f>
        <v>0</v>
      </c>
      <c r="E12">
        <f t="shared" si="1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1"/>
      <c r="B13" s="141"/>
      <c r="C13" s="11"/>
      <c r="D13">
        <f t="shared" si="1"/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1"/>
      <c r="B14" s="141"/>
      <c r="C14" s="11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1"/>
      <c r="B15" s="141"/>
      <c r="C15" s="11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.75" hidden="1" customHeight="1" thickBot="1" x14ac:dyDescent="0.3">
      <c r="A16" s="141"/>
      <c r="B16" s="141"/>
      <c r="C16" s="11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x14ac:dyDescent="0.25">
      <c r="A17" s="137" t="s">
        <v>6</v>
      </c>
      <c r="B17" s="137"/>
      <c r="C17" s="12">
        <f>SUM(C4:C16)</f>
        <v>4575.8600000000006</v>
      </c>
      <c r="D17" s="2">
        <v>944.02</v>
      </c>
      <c r="E17" s="2">
        <v>1207.31</v>
      </c>
      <c r="F17" s="2"/>
      <c r="G17" s="2"/>
      <c r="H17" s="2"/>
      <c r="I17" s="2"/>
      <c r="J17" s="2"/>
    </row>
    <row r="19" spans="1:10" ht="12" customHeight="1" x14ac:dyDescent="0.25">
      <c r="D19" s="8" t="str">
        <f t="shared" ref="D19:F19" si="2">D3</f>
        <v>600dne</v>
      </c>
      <c r="E19" s="8" t="str">
        <f t="shared" si="2"/>
        <v>150D суровая</v>
      </c>
      <c r="F19" s="8">
        <f t="shared" si="2"/>
        <v>0</v>
      </c>
      <c r="G19" s="4">
        <f>G3</f>
        <v>0</v>
      </c>
      <c r="H19" s="4">
        <f t="shared" ref="H19:J19" si="3">H3</f>
        <v>0</v>
      </c>
      <c r="I19" s="4">
        <f t="shared" si="3"/>
        <v>0</v>
      </c>
      <c r="J19" s="4">
        <f t="shared" si="3"/>
        <v>0</v>
      </c>
    </row>
    <row r="20" spans="1:10" x14ac:dyDescent="0.25">
      <c r="A20" s="141" t="str">
        <f>A4</f>
        <v xml:space="preserve">Производство 5293 от 27.10.2025 </v>
      </c>
      <c r="B20" s="141"/>
      <c r="C20" s="22">
        <f>C4</f>
        <v>794.35</v>
      </c>
      <c r="D20">
        <f>ROUND(D4,3)</f>
        <v>163.87799999999999</v>
      </c>
      <c r="E20">
        <f t="shared" ref="E20:J32" si="4">ROUND(E4,3)</f>
        <v>209.584</v>
      </c>
      <c r="F20">
        <f t="shared" si="4"/>
        <v>0</v>
      </c>
      <c r="G20">
        <f t="shared" si="4"/>
        <v>0</v>
      </c>
      <c r="H20">
        <f t="shared" si="4"/>
        <v>0</v>
      </c>
      <c r="I20">
        <f t="shared" si="4"/>
        <v>0</v>
      </c>
      <c r="J20">
        <f t="shared" si="4"/>
        <v>0</v>
      </c>
    </row>
    <row r="21" spans="1:10" x14ac:dyDescent="0.25">
      <c r="A21" s="141" t="str">
        <f t="shared" ref="A21:A32" si="5">A5</f>
        <v xml:space="preserve">Производство 5362 от 28.10.2025 </v>
      </c>
      <c r="B21" s="141"/>
      <c r="C21" s="22">
        <f t="shared" ref="C21:C32" si="6">C5</f>
        <v>896.75</v>
      </c>
      <c r="D21">
        <f t="shared" ref="D21:G32" si="7">ROUND(D5,3)</f>
        <v>185.00299999999999</v>
      </c>
      <c r="E21">
        <f t="shared" si="7"/>
        <v>236.601</v>
      </c>
      <c r="F21">
        <f t="shared" si="7"/>
        <v>0</v>
      </c>
      <c r="G21">
        <f t="shared" si="7"/>
        <v>0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si="5"/>
        <v xml:space="preserve">Производство 5363 от 29.10.2025 </v>
      </c>
      <c r="B22" s="141"/>
      <c r="C22" s="22">
        <f t="shared" si="6"/>
        <v>332.85</v>
      </c>
      <c r="D22">
        <f t="shared" si="7"/>
        <v>68.668000000000006</v>
      </c>
      <c r="E22">
        <f t="shared" si="7"/>
        <v>87.82</v>
      </c>
      <c r="F22">
        <f t="shared" si="7"/>
        <v>0</v>
      </c>
      <c r="G22">
        <f t="shared" si="7"/>
        <v>0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x14ac:dyDescent="0.25">
      <c r="A23" s="141" t="str">
        <f t="shared" si="5"/>
        <v xml:space="preserve">Производство 5380 от 29.10.2025 </v>
      </c>
      <c r="B23" s="141"/>
      <c r="C23" s="22">
        <f t="shared" si="6"/>
        <v>647.59</v>
      </c>
      <c r="D23">
        <f t="shared" si="7"/>
        <v>133.601</v>
      </c>
      <c r="E23">
        <f t="shared" si="7"/>
        <v>170.86199999999999</v>
      </c>
      <c r="F23">
        <f t="shared" si="7"/>
        <v>0</v>
      </c>
      <c r="G23">
        <f t="shared" si="7"/>
        <v>0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x14ac:dyDescent="0.25">
      <c r="A24" s="141" t="str">
        <f t="shared" si="5"/>
        <v xml:space="preserve">Производство 5458 от 30.10.2025 </v>
      </c>
      <c r="B24" s="141"/>
      <c r="C24" s="22">
        <f t="shared" si="6"/>
        <v>990.75</v>
      </c>
      <c r="D24">
        <f t="shared" si="7"/>
        <v>204.39599999999999</v>
      </c>
      <c r="E24">
        <f t="shared" si="7"/>
        <v>261.40300000000002</v>
      </c>
      <c r="F24">
        <f t="shared" si="7"/>
        <v>0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x14ac:dyDescent="0.25">
      <c r="A25" s="141" t="str">
        <f t="shared" si="5"/>
        <v xml:space="preserve">Производство 5490 от 31.10.2025 </v>
      </c>
      <c r="B25" s="141"/>
      <c r="C25" s="22">
        <f t="shared" si="6"/>
        <v>584.51</v>
      </c>
      <c r="D25">
        <f t="shared" si="7"/>
        <v>120.587</v>
      </c>
      <c r="E25">
        <f t="shared" si="7"/>
        <v>154.21899999999999</v>
      </c>
      <c r="F25">
        <f t="shared" si="7"/>
        <v>0</v>
      </c>
      <c r="G25">
        <f t="shared" si="7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x14ac:dyDescent="0.25">
      <c r="A26" s="141" t="str">
        <f t="shared" si="5"/>
        <v xml:space="preserve">Производство 5535 от 01.11.2025 </v>
      </c>
      <c r="B26" s="141"/>
      <c r="C26" s="22">
        <f t="shared" si="6"/>
        <v>246.47</v>
      </c>
      <c r="D26">
        <f t="shared" si="7"/>
        <v>50.847999999999999</v>
      </c>
      <c r="E26">
        <f t="shared" si="7"/>
        <v>65.028999999999996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t="15.75" thickBot="1" x14ac:dyDescent="0.3">
      <c r="A27" s="141" t="str">
        <f t="shared" si="5"/>
        <v xml:space="preserve">Производство 5538 от 05.11.2025 </v>
      </c>
      <c r="B27" s="141"/>
      <c r="C27" s="22">
        <f t="shared" si="6"/>
        <v>82.59</v>
      </c>
      <c r="D27">
        <f t="shared" si="7"/>
        <v>17.039000000000001</v>
      </c>
      <c r="E27">
        <f t="shared" si="7"/>
        <v>21.791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idden="1" x14ac:dyDescent="0.25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idden="1" x14ac:dyDescent="0.25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idden="1" x14ac:dyDescent="0.25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idden="1" x14ac:dyDescent="0.25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t="15.75" hidden="1" thickBot="1" x14ac:dyDescent="0.3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" customHeight="1" x14ac:dyDescent="0.25">
      <c r="A33" s="137" t="s">
        <v>6</v>
      </c>
      <c r="B33" s="137"/>
      <c r="C33" s="12">
        <f>SUM(C20:C32)</f>
        <v>4575.8600000000006</v>
      </c>
      <c r="D33" s="2">
        <f>SUM(D20:D32)</f>
        <v>944.01999999999987</v>
      </c>
      <c r="E33" s="2">
        <f t="shared" ref="E33:J33" si="8">SUM(E20:E32)</f>
        <v>1207.309</v>
      </c>
      <c r="F33" s="2">
        <f t="shared" si="8"/>
        <v>0</v>
      </c>
      <c r="G33" s="2">
        <f t="shared" si="8"/>
        <v>0</v>
      </c>
      <c r="H33" s="2">
        <f t="shared" si="8"/>
        <v>0</v>
      </c>
      <c r="I33" s="2">
        <f t="shared" si="8"/>
        <v>0</v>
      </c>
      <c r="J33" s="2">
        <f t="shared" si="8"/>
        <v>0</v>
      </c>
    </row>
    <row r="37" spans="1:10" x14ac:dyDescent="0.25">
      <c r="D37" s="15"/>
      <c r="E37" s="15"/>
      <c r="F37" s="15"/>
      <c r="G37" s="15"/>
      <c r="H37" s="15"/>
      <c r="I37" s="15"/>
      <c r="J37" s="15"/>
    </row>
    <row r="39" spans="1:10" x14ac:dyDescent="0.25">
      <c r="D39" s="15"/>
      <c r="E39" s="15"/>
      <c r="F39" s="15"/>
      <c r="G39" s="15"/>
      <c r="H39" s="15"/>
      <c r="I39" s="15"/>
      <c r="J39" s="15"/>
    </row>
  </sheetData>
  <mergeCells count="29">
    <mergeCell ref="A1:E1"/>
    <mergeCell ref="A12:B12"/>
    <mergeCell ref="A13:B13"/>
    <mergeCell ref="A14:B14"/>
    <mergeCell ref="A9:B9"/>
    <mergeCell ref="A10:B10"/>
    <mergeCell ref="A11:B11"/>
    <mergeCell ref="A4:B4"/>
    <mergeCell ref="A5:B5"/>
    <mergeCell ref="A6:B6"/>
    <mergeCell ref="A7:B7"/>
    <mergeCell ref="A8:B8"/>
    <mergeCell ref="A28:B28"/>
    <mergeCell ref="A15:B15"/>
    <mergeCell ref="A16:B16"/>
    <mergeCell ref="A17:B17"/>
    <mergeCell ref="A20:B20"/>
    <mergeCell ref="A21:B21"/>
    <mergeCell ref="A22:B22"/>
    <mergeCell ref="A23:B23"/>
    <mergeCell ref="A24:B24"/>
    <mergeCell ref="A25:B25"/>
    <mergeCell ref="A26:B26"/>
    <mergeCell ref="A27:B27"/>
    <mergeCell ref="A29:B29"/>
    <mergeCell ref="A30:B30"/>
    <mergeCell ref="A31:B31"/>
    <mergeCell ref="A32:B32"/>
    <mergeCell ref="A33:B33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workbookViewId="0">
      <selection activeCell="D23" sqref="D23"/>
    </sheetView>
  </sheetViews>
  <sheetFormatPr defaultRowHeight="15" x14ac:dyDescent="0.25"/>
  <cols>
    <col min="1" max="1" width="27.5703125" customWidth="1"/>
    <col min="3" max="3" width="13.7109375" customWidth="1"/>
    <col min="4" max="4" width="16.28515625" customWidth="1"/>
    <col min="5" max="5" width="15.28515625" customWidth="1"/>
    <col min="6" max="6" width="12.28515625" customWidth="1"/>
    <col min="7" max="7" width="15.8554687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117</v>
      </c>
      <c r="B1" s="138"/>
      <c r="C1" s="138"/>
      <c r="D1" s="138"/>
      <c r="E1" s="138"/>
    </row>
    <row r="2" spans="1:10" x14ac:dyDescent="0.25">
      <c r="A2" s="30"/>
      <c r="B2" s="30"/>
      <c r="C2" s="30"/>
      <c r="D2" s="30"/>
      <c r="E2" s="30"/>
    </row>
    <row r="3" spans="1:10" ht="18.75" x14ac:dyDescent="0.3">
      <c r="A3" s="35" t="s">
        <v>129</v>
      </c>
    </row>
    <row r="4" spans="1:10" ht="30" x14ac:dyDescent="0.25">
      <c r="D4" s="8" t="s">
        <v>44</v>
      </c>
      <c r="E4" s="8" t="s">
        <v>42</v>
      </c>
      <c r="F4" s="8" t="s">
        <v>118</v>
      </c>
      <c r="G4" s="8" t="s">
        <v>119</v>
      </c>
      <c r="H4" s="4"/>
      <c r="I4" s="4"/>
      <c r="J4" s="4"/>
    </row>
    <row r="5" spans="1:10" ht="15" customHeight="1" x14ac:dyDescent="0.25">
      <c r="A5" s="147" t="s">
        <v>120</v>
      </c>
      <c r="B5" s="147"/>
      <c r="C5" s="34">
        <v>225.25</v>
      </c>
      <c r="D5">
        <f t="shared" ref="D5:J17" si="0">$C5/$C$18*D$18</f>
        <v>24.973895200878051</v>
      </c>
      <c r="E5">
        <f t="shared" si="0"/>
        <v>23.634528289370532</v>
      </c>
      <c r="F5">
        <f t="shared" si="0"/>
        <v>22.895567234745695</v>
      </c>
      <c r="G5">
        <f t="shared" si="0"/>
        <v>45.380902413431272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47" t="s">
        <v>121</v>
      </c>
      <c r="B6" s="147"/>
      <c r="C6" s="34">
        <v>204.74</v>
      </c>
      <c r="D6">
        <f t="shared" si="0"/>
        <v>22.699912556838054</v>
      </c>
      <c r="E6">
        <f t="shared" si="0"/>
        <v>21.482500874431622</v>
      </c>
      <c r="F6">
        <f t="shared" si="0"/>
        <v>20.810825463448758</v>
      </c>
      <c r="G6">
        <f t="shared" si="0"/>
        <v>41.248772298006294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47" t="s">
        <v>122</v>
      </c>
      <c r="B7" s="147"/>
      <c r="C7" s="34">
        <v>305.06</v>
      </c>
      <c r="D7">
        <f t="shared" si="0"/>
        <v>33.822581442751861</v>
      </c>
      <c r="E7">
        <f t="shared" si="0"/>
        <v>32.008653495917308</v>
      </c>
      <c r="F7">
        <f t="shared" si="0"/>
        <v>31.007865663181001</v>
      </c>
      <c r="G7">
        <f t="shared" si="0"/>
        <v>61.460146904512058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x14ac:dyDescent="0.25">
      <c r="A8" s="147" t="s">
        <v>123</v>
      </c>
      <c r="B8" s="147"/>
      <c r="C8" s="34">
        <v>253.2</v>
      </c>
      <c r="D8">
        <f t="shared" si="0"/>
        <v>28.072764771863802</v>
      </c>
      <c r="E8">
        <f t="shared" si="0"/>
        <v>26.56720338676412</v>
      </c>
      <c r="F8">
        <f t="shared" si="0"/>
        <v>25.73654882946774</v>
      </c>
      <c r="G8">
        <f t="shared" si="0"/>
        <v>51.011962224554033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x14ac:dyDescent="0.25">
      <c r="A9" s="147" t="s">
        <v>124</v>
      </c>
      <c r="B9" s="147"/>
      <c r="C9" s="34">
        <v>237.75</v>
      </c>
      <c r="D9">
        <f t="shared" si="0"/>
        <v>26.359793935665952</v>
      </c>
      <c r="E9">
        <f t="shared" si="0"/>
        <v>24.94610033650541</v>
      </c>
      <c r="F9">
        <f t="shared" si="0"/>
        <v>24.166131454209935</v>
      </c>
      <c r="G9">
        <f t="shared" si="0"/>
        <v>47.899265477439656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x14ac:dyDescent="0.25">
      <c r="A10" s="147" t="s">
        <v>125</v>
      </c>
      <c r="B10" s="147"/>
      <c r="C10" s="34">
        <v>317.48</v>
      </c>
      <c r="D10">
        <f t="shared" si="0"/>
        <v>35.199610425637125</v>
      </c>
      <c r="E10">
        <f t="shared" si="0"/>
        <v>33.311831481950527</v>
      </c>
      <c r="F10">
        <f t="shared" si="0"/>
        <v>32.270298271640677</v>
      </c>
      <c r="G10">
        <f t="shared" si="0"/>
        <v>63.962392444910805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x14ac:dyDescent="0.25">
      <c r="A11" s="147" t="s">
        <v>126</v>
      </c>
      <c r="B11" s="147"/>
      <c r="C11" s="34">
        <v>614.58000000000004</v>
      </c>
      <c r="D11">
        <f t="shared" si="0"/>
        <v>68.139651554076067</v>
      </c>
      <c r="E11">
        <f t="shared" si="0"/>
        <v>64.485275898252354</v>
      </c>
      <c r="F11">
        <f t="shared" si="0"/>
        <v>62.469068639866855</v>
      </c>
      <c r="G11">
        <f t="shared" si="0"/>
        <v>123.81884575026234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customHeight="1" x14ac:dyDescent="0.25">
      <c r="A12" s="147" t="s">
        <v>127</v>
      </c>
      <c r="B12" s="147"/>
      <c r="C12" s="34">
        <v>848.86</v>
      </c>
      <c r="D12">
        <f>$C12/$C$18*D$18</f>
        <v>94.11472000096488</v>
      </c>
      <c r="E12">
        <f>$C12/$C$18*E$18</f>
        <v>89.067283834473116</v>
      </c>
      <c r="F12">
        <f t="shared" si="0"/>
        <v>86.282491466753513</v>
      </c>
      <c r="G12">
        <f t="shared" si="0"/>
        <v>171.01901364113326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customHeight="1" thickBot="1" x14ac:dyDescent="0.3">
      <c r="A13" s="147" t="s">
        <v>128</v>
      </c>
      <c r="B13" s="147"/>
      <c r="C13" s="34">
        <v>309.52</v>
      </c>
      <c r="D13">
        <f t="shared" ref="D13:E17" si="1">$C13/$C$18*D$18</f>
        <v>34.317070111324192</v>
      </c>
      <c r="E13">
        <f t="shared" si="1"/>
        <v>32.476622402335032</v>
      </c>
      <c r="F13">
        <f t="shared" si="0"/>
        <v>31.461202976685847</v>
      </c>
      <c r="G13">
        <f t="shared" si="0"/>
        <v>62.358698845750261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3316.44</v>
      </c>
      <c r="D18" s="2">
        <v>367.7</v>
      </c>
      <c r="E18" s="2">
        <v>347.98</v>
      </c>
      <c r="F18" s="2">
        <v>337.1</v>
      </c>
      <c r="G18" s="2">
        <v>668.16</v>
      </c>
      <c r="H18" s="2"/>
      <c r="I18" s="2"/>
      <c r="J18" s="2"/>
    </row>
    <row r="20" spans="1:10" ht="12" customHeight="1" x14ac:dyDescent="0.25">
      <c r="D20" s="8" t="str">
        <f t="shared" ref="D20:F20" si="2">D4</f>
        <v>300dne</v>
      </c>
      <c r="E20" s="8" t="str">
        <f t="shared" si="2"/>
        <v>150D суровая</v>
      </c>
      <c r="F20" s="8" t="str">
        <f t="shared" si="2"/>
        <v>трилоб черн</v>
      </c>
      <c r="G20" s="4" t="str">
        <f>G4</f>
        <v>пряжа 20текс</v>
      </c>
      <c r="H20" s="4">
        <f t="shared" ref="H20:J20" si="3">H4</f>
        <v>0</v>
      </c>
      <c r="I20" s="4">
        <f t="shared" si="3"/>
        <v>0</v>
      </c>
      <c r="J20" s="4">
        <f t="shared" si="3"/>
        <v>0</v>
      </c>
    </row>
    <row r="21" spans="1:10" x14ac:dyDescent="0.25">
      <c r="A21" s="141" t="str">
        <f>A5</f>
        <v xml:space="preserve">Производство 5528 от 31.10.2025 </v>
      </c>
      <c r="B21" s="141"/>
      <c r="C21" s="22">
        <f>C5</f>
        <v>225.25</v>
      </c>
      <c r="D21">
        <f>ROUND(D5,3)</f>
        <v>24.974</v>
      </c>
      <c r="E21">
        <f t="shared" ref="E21:J33" si="4">ROUND(E5,3)</f>
        <v>23.635000000000002</v>
      </c>
      <c r="F21">
        <f t="shared" si="4"/>
        <v>22.896000000000001</v>
      </c>
      <c r="G21">
        <f t="shared" si="4"/>
        <v>45.381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ref="A22:A33" si="5">A6</f>
        <v xml:space="preserve">Производство 5536 от 01.11.2025 </v>
      </c>
      <c r="B22" s="141"/>
      <c r="C22" s="22">
        <f t="shared" ref="C22:C33" si="6">C6</f>
        <v>204.74</v>
      </c>
      <c r="D22">
        <f t="shared" ref="D22:G33" si="7">ROUND(D6,3)</f>
        <v>22.7</v>
      </c>
      <c r="E22">
        <f t="shared" si="7"/>
        <v>21.483000000000001</v>
      </c>
      <c r="F22">
        <f t="shared" si="7"/>
        <v>20.811</v>
      </c>
      <c r="G22">
        <f t="shared" si="7"/>
        <v>41.249000000000002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x14ac:dyDescent="0.25">
      <c r="A23" s="141" t="str">
        <f t="shared" si="5"/>
        <v xml:space="preserve">Производство 5570 от 05.11.2025 </v>
      </c>
      <c r="B23" s="141"/>
      <c r="C23" s="22">
        <f t="shared" si="6"/>
        <v>305.06</v>
      </c>
      <c r="D23">
        <f t="shared" si="7"/>
        <v>33.823</v>
      </c>
      <c r="E23">
        <f t="shared" si="7"/>
        <v>32.009</v>
      </c>
      <c r="F23">
        <f t="shared" si="7"/>
        <v>31.007999999999999</v>
      </c>
      <c r="G23">
        <f t="shared" si="7"/>
        <v>61.46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x14ac:dyDescent="0.25">
      <c r="A24" s="141" t="str">
        <f t="shared" si="5"/>
        <v xml:space="preserve">Производство 5639 от 06.11.2025 </v>
      </c>
      <c r="B24" s="141"/>
      <c r="C24" s="22">
        <f t="shared" si="6"/>
        <v>253.2</v>
      </c>
      <c r="D24">
        <f t="shared" si="7"/>
        <v>28.073</v>
      </c>
      <c r="E24">
        <f t="shared" si="7"/>
        <v>26.567</v>
      </c>
      <c r="F24">
        <f t="shared" si="7"/>
        <v>25.736999999999998</v>
      </c>
      <c r="G24">
        <f t="shared" si="7"/>
        <v>51.012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x14ac:dyDescent="0.25">
      <c r="A25" s="141" t="str">
        <f t="shared" si="5"/>
        <v xml:space="preserve">Производство 6027 от 14.11.2025 </v>
      </c>
      <c r="B25" s="141"/>
      <c r="C25" s="22">
        <f t="shared" si="6"/>
        <v>237.75</v>
      </c>
      <c r="D25">
        <f t="shared" si="7"/>
        <v>26.36</v>
      </c>
      <c r="E25">
        <f t="shared" si="7"/>
        <v>24.946000000000002</v>
      </c>
      <c r="F25">
        <f t="shared" si="7"/>
        <v>24.166</v>
      </c>
      <c r="G25">
        <f t="shared" si="7"/>
        <v>47.899000000000001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x14ac:dyDescent="0.25">
      <c r="A26" s="141" t="str">
        <f t="shared" si="5"/>
        <v xml:space="preserve">Производство 6034 от 15.11.2025 </v>
      </c>
      <c r="B26" s="141"/>
      <c r="C26" s="22">
        <f t="shared" si="6"/>
        <v>317.48</v>
      </c>
      <c r="D26">
        <f t="shared" si="7"/>
        <v>35.200000000000003</v>
      </c>
      <c r="E26">
        <f t="shared" si="7"/>
        <v>33.311999999999998</v>
      </c>
      <c r="F26">
        <f t="shared" si="7"/>
        <v>32.270000000000003</v>
      </c>
      <c r="G26">
        <f t="shared" si="7"/>
        <v>63.962000000000003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x14ac:dyDescent="0.25">
      <c r="A27" s="141" t="str">
        <f t="shared" si="5"/>
        <v xml:space="preserve">Производство 6086 от 17.11.2025 </v>
      </c>
      <c r="B27" s="141"/>
      <c r="C27" s="22">
        <f t="shared" si="6"/>
        <v>614.58000000000004</v>
      </c>
      <c r="D27">
        <f t="shared" si="7"/>
        <v>68.14</v>
      </c>
      <c r="E27">
        <f t="shared" si="7"/>
        <v>64.484999999999999</v>
      </c>
      <c r="F27">
        <f t="shared" si="7"/>
        <v>62.469000000000001</v>
      </c>
      <c r="G27">
        <f t="shared" si="7"/>
        <v>123.819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x14ac:dyDescent="0.25">
      <c r="A28" s="141" t="str">
        <f t="shared" si="5"/>
        <v xml:space="preserve">Производство 6180 от 18.11.2025 </v>
      </c>
      <c r="B28" s="141"/>
      <c r="C28" s="22">
        <f t="shared" si="6"/>
        <v>848.86</v>
      </c>
      <c r="D28">
        <f t="shared" si="7"/>
        <v>94.114999999999995</v>
      </c>
      <c r="E28">
        <f t="shared" si="7"/>
        <v>89.066999999999993</v>
      </c>
      <c r="F28">
        <f t="shared" si="7"/>
        <v>86.281999999999996</v>
      </c>
      <c r="G28">
        <f t="shared" si="7"/>
        <v>171.01900000000001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t="15.75" thickBot="1" x14ac:dyDescent="0.3">
      <c r="A29" s="141" t="str">
        <f t="shared" si="5"/>
        <v xml:space="preserve">Производство 6211 от 19.11.2025 </v>
      </c>
      <c r="B29" s="141"/>
      <c r="C29" s="22">
        <f t="shared" si="6"/>
        <v>309.52</v>
      </c>
      <c r="D29">
        <f t="shared" si="7"/>
        <v>34.317</v>
      </c>
      <c r="E29">
        <f t="shared" si="7"/>
        <v>32.476999999999997</v>
      </c>
      <c r="F29">
        <f t="shared" si="7"/>
        <v>31.460999999999999</v>
      </c>
      <c r="G29">
        <f t="shared" si="7"/>
        <v>62.359000000000002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idden="1" x14ac:dyDescent="0.25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idden="1" x14ac:dyDescent="0.25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idden="1" x14ac:dyDescent="0.25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3316.44</v>
      </c>
      <c r="D34" s="2">
        <f>SUM(D21:D33)</f>
        <v>367.702</v>
      </c>
      <c r="E34" s="2">
        <f t="shared" ref="E34:J34" si="8">SUM(E21:E33)</f>
        <v>347.98099999999999</v>
      </c>
      <c r="F34" s="2">
        <f t="shared" si="8"/>
        <v>337.1</v>
      </c>
      <c r="G34" s="2">
        <f t="shared" si="8"/>
        <v>668.16000000000008</v>
      </c>
      <c r="H34" s="2">
        <f t="shared" si="8"/>
        <v>0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>300dne</v>
      </c>
      <c r="D38" s="30">
        <f>D18/C18</f>
        <v>0.1108718987830324</v>
      </c>
      <c r="E38" s="30">
        <v>0.14000000000000001</v>
      </c>
      <c r="F38" s="29">
        <f>D38/E38-1</f>
        <v>-0.20805786583548291</v>
      </c>
      <c r="G38" s="30"/>
      <c r="H38" s="30"/>
      <c r="I38" s="30"/>
      <c r="J38" s="30"/>
    </row>
    <row r="39" spans="1:10" x14ac:dyDescent="0.25">
      <c r="C39" t="str">
        <f>E4</f>
        <v>150D суровая</v>
      </c>
      <c r="D39" s="30">
        <f>E18/C18</f>
        <v>0.10492576377079037</v>
      </c>
      <c r="E39" s="30">
        <v>9.5000000000000001E-2</v>
      </c>
      <c r="F39" s="29">
        <f t="shared" ref="F39:F41" si="9">D39/E39-1</f>
        <v>0.10448172390305643</v>
      </c>
    </row>
    <row r="40" spans="1:10" x14ac:dyDescent="0.25">
      <c r="C40" t="str">
        <f>F4</f>
        <v>трилоб черн</v>
      </c>
      <c r="D40" s="30">
        <f>F18/C18</f>
        <v>0.10164513755713959</v>
      </c>
      <c r="E40" s="30">
        <v>9.2999999999999999E-2</v>
      </c>
      <c r="F40" s="29">
        <f t="shared" si="9"/>
        <v>9.2958468356339807E-2</v>
      </c>
      <c r="G40" s="30"/>
      <c r="H40" s="30"/>
      <c r="I40" s="30"/>
      <c r="J40" s="30"/>
    </row>
    <row r="41" spans="1:10" x14ac:dyDescent="0.25">
      <c r="C41" t="str">
        <f>G4</f>
        <v>пряжа 20текс</v>
      </c>
      <c r="D41" s="30">
        <f>G18/C18</f>
        <v>0.20146904512067154</v>
      </c>
      <c r="E41" s="30">
        <v>0.17</v>
      </c>
      <c r="F41" s="29">
        <f t="shared" si="9"/>
        <v>0.18511203012159716</v>
      </c>
    </row>
  </sheetData>
  <mergeCells count="29">
    <mergeCell ref="A1:E1"/>
    <mergeCell ref="A14:B14"/>
    <mergeCell ref="A15:B15"/>
    <mergeCell ref="A10:B10"/>
    <mergeCell ref="A11:B11"/>
    <mergeCell ref="A12:B12"/>
    <mergeCell ref="A13:B13"/>
    <mergeCell ref="A5:B5"/>
    <mergeCell ref="A6:B6"/>
    <mergeCell ref="A7:B7"/>
    <mergeCell ref="A8:B8"/>
    <mergeCell ref="A9:B9"/>
    <mergeCell ref="A29:B29"/>
    <mergeCell ref="A16:B16"/>
    <mergeCell ref="A17:B17"/>
    <mergeCell ref="A18:B18"/>
    <mergeCell ref="A21:B21"/>
    <mergeCell ref="A22:B22"/>
    <mergeCell ref="A23:B23"/>
    <mergeCell ref="A24:B24"/>
    <mergeCell ref="A25:B25"/>
    <mergeCell ref="A26:B26"/>
    <mergeCell ref="A27:B27"/>
    <mergeCell ref="A28:B28"/>
    <mergeCell ref="A30:B30"/>
    <mergeCell ref="A31:B31"/>
    <mergeCell ref="A32:B32"/>
    <mergeCell ref="A33:B33"/>
    <mergeCell ref="A34:B34"/>
  </mergeCells>
  <pageMargins left="0.70866141732283472" right="0.70866141732283472" top="0.74803149606299213" bottom="0.74803149606299213" header="0.31496062992125984" footer="0.31496062992125984"/>
  <pageSetup paperSize="9" scale="7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workbookViewId="0">
      <selection activeCell="A35" sqref="A35"/>
    </sheetView>
  </sheetViews>
  <sheetFormatPr defaultRowHeight="15" x14ac:dyDescent="0.25"/>
  <cols>
    <col min="1" max="1" width="27.5703125" customWidth="1"/>
    <col min="4" max="4" width="16.28515625" customWidth="1"/>
    <col min="5" max="5" width="15.28515625" customWidth="1"/>
    <col min="6" max="6" width="12.28515625" hidden="1" customWidth="1"/>
    <col min="7" max="7" width="15.85546875" hidden="1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72</v>
      </c>
      <c r="B1" s="138"/>
      <c r="C1" s="138"/>
      <c r="D1" s="138"/>
      <c r="E1" s="138"/>
    </row>
    <row r="3" spans="1:10" x14ac:dyDescent="0.25">
      <c r="D3" s="8" t="s">
        <v>44</v>
      </c>
      <c r="E3" s="8" t="s">
        <v>42</v>
      </c>
      <c r="F3" s="8"/>
      <c r="G3" s="8"/>
      <c r="H3" s="4"/>
      <c r="I3" s="4"/>
      <c r="J3" s="4"/>
    </row>
    <row r="4" spans="1:10" ht="15" customHeight="1" x14ac:dyDescent="0.25">
      <c r="A4" s="146" t="s">
        <v>73</v>
      </c>
      <c r="B4" s="146"/>
      <c r="C4" s="24">
        <v>165.38</v>
      </c>
      <c r="D4">
        <f t="shared" ref="D4:J16" si="0">$C4/$C$17*D$17</f>
        <v>20.694059178556369</v>
      </c>
      <c r="E4">
        <f t="shared" si="0"/>
        <v>55.546994197528129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</row>
    <row r="5" spans="1:10" ht="15" customHeight="1" x14ac:dyDescent="0.25">
      <c r="A5" s="146" t="s">
        <v>74</v>
      </c>
      <c r="B5" s="146"/>
      <c r="C5" s="24">
        <v>323.44</v>
      </c>
      <c r="D5">
        <f t="shared" si="0"/>
        <v>40.472164111212194</v>
      </c>
      <c r="E5">
        <f t="shared" si="0"/>
        <v>108.63538398384627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46" t="s">
        <v>75</v>
      </c>
      <c r="B6" s="146"/>
      <c r="C6" s="24">
        <v>390.72</v>
      </c>
      <c r="D6">
        <f t="shared" si="0"/>
        <v>48.890934830363683</v>
      </c>
      <c r="E6">
        <f t="shared" si="0"/>
        <v>131.23304857212597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46" t="s">
        <v>76</v>
      </c>
      <c r="B7" s="146"/>
      <c r="C7" s="24">
        <v>321.06</v>
      </c>
      <c r="D7">
        <f t="shared" si="0"/>
        <v>40.174353850933059</v>
      </c>
      <c r="E7">
        <f t="shared" si="0"/>
        <v>107.83600167528347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x14ac:dyDescent="0.25">
      <c r="A8" s="146" t="s">
        <v>77</v>
      </c>
      <c r="B8" s="146"/>
      <c r="C8" s="24">
        <v>401.31</v>
      </c>
      <c r="D8">
        <f t="shared" si="0"/>
        <v>50.216065358244386</v>
      </c>
      <c r="E8">
        <f t="shared" si="0"/>
        <v>134.78996397031088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x14ac:dyDescent="0.25">
      <c r="A9" s="146" t="s">
        <v>78</v>
      </c>
      <c r="B9" s="146"/>
      <c r="C9" s="24">
        <v>160.66999999999999</v>
      </c>
      <c r="D9">
        <f t="shared" si="0"/>
        <v>20.104695176071179</v>
      </c>
      <c r="E9">
        <f t="shared" si="0"/>
        <v>53.965023326380717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x14ac:dyDescent="0.25">
      <c r="A10" s="146" t="s">
        <v>79</v>
      </c>
      <c r="B10" s="146"/>
      <c r="C10" s="24">
        <v>391.77</v>
      </c>
      <c r="D10">
        <f t="shared" si="0"/>
        <v>49.022321709898584</v>
      </c>
      <c r="E10">
        <f t="shared" si="0"/>
        <v>131.58571723766835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" customHeight="1" x14ac:dyDescent="0.25">
      <c r="A11" s="146" t="s">
        <v>80</v>
      </c>
      <c r="B11" s="146"/>
      <c r="C11" s="24">
        <v>320.88</v>
      </c>
      <c r="D11">
        <f>$C11/$C$17*D$17</f>
        <v>40.151830385869928</v>
      </c>
      <c r="E11">
        <f>$C11/$C$17*E$17</f>
        <v>107.77554418976192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customHeight="1" x14ac:dyDescent="0.25">
      <c r="A12" s="146" t="s">
        <v>81</v>
      </c>
      <c r="B12" s="146"/>
      <c r="C12" s="24">
        <v>324.97000000000003</v>
      </c>
      <c r="D12">
        <f t="shared" ref="D12:E16" si="1">$C12/$C$17*D$17</f>
        <v>40.663613564248784</v>
      </c>
      <c r="E12">
        <f t="shared" si="1"/>
        <v>109.14927261077951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customHeight="1" x14ac:dyDescent="0.25">
      <c r="A13" s="146" t="s">
        <v>82</v>
      </c>
      <c r="B13" s="146"/>
      <c r="C13" s="24">
        <v>401.69</v>
      </c>
      <c r="D13">
        <f t="shared" si="1"/>
        <v>50.263614895599879</v>
      </c>
      <c r="E13">
        <f t="shared" si="1"/>
        <v>134.91759643974527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customHeight="1" x14ac:dyDescent="0.25">
      <c r="A14" s="146" t="s">
        <v>83</v>
      </c>
      <c r="B14" s="146"/>
      <c r="C14" s="24">
        <v>243.24</v>
      </c>
      <c r="D14">
        <f t="shared" si="1"/>
        <v>30.436709121973948</v>
      </c>
      <c r="E14">
        <f t="shared" si="1"/>
        <v>81.698215434797078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customHeight="1" thickBot="1" x14ac:dyDescent="0.3">
      <c r="A15" s="146" t="s">
        <v>84</v>
      </c>
      <c r="B15" s="146"/>
      <c r="C15" s="24">
        <v>160.22999999999999</v>
      </c>
      <c r="D15">
        <f t="shared" si="1"/>
        <v>20.049637817027978</v>
      </c>
      <c r="E15">
        <f t="shared" si="1"/>
        <v>53.817238361772468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.75" hidden="1" customHeight="1" thickBot="1" x14ac:dyDescent="0.3">
      <c r="A16" s="141"/>
      <c r="B16" s="141"/>
      <c r="C16" s="11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x14ac:dyDescent="0.25">
      <c r="A17" s="137" t="s">
        <v>6</v>
      </c>
      <c r="B17" s="137"/>
      <c r="C17" s="12">
        <f>SUM(C4:C16)</f>
        <v>3605.36</v>
      </c>
      <c r="D17" s="2">
        <v>451.14</v>
      </c>
      <c r="E17" s="2">
        <v>1210.95</v>
      </c>
      <c r="F17" s="2"/>
      <c r="G17" s="2"/>
      <c r="H17" s="2"/>
      <c r="I17" s="2"/>
      <c r="J17" s="2"/>
    </row>
    <row r="19" spans="1:10" ht="12" customHeight="1" x14ac:dyDescent="0.25">
      <c r="D19" s="8" t="str">
        <f t="shared" ref="D19:F19" si="2">D3</f>
        <v>300dne</v>
      </c>
      <c r="E19" s="8" t="str">
        <f t="shared" si="2"/>
        <v>150D суровая</v>
      </c>
      <c r="F19" s="8">
        <f t="shared" si="2"/>
        <v>0</v>
      </c>
      <c r="G19" s="4">
        <f>G3</f>
        <v>0</v>
      </c>
      <c r="H19" s="4">
        <f t="shared" ref="H19:J19" si="3">H3</f>
        <v>0</v>
      </c>
      <c r="I19" s="4">
        <f t="shared" si="3"/>
        <v>0</v>
      </c>
      <c r="J19" s="4">
        <f t="shared" si="3"/>
        <v>0</v>
      </c>
    </row>
    <row r="20" spans="1:10" x14ac:dyDescent="0.25">
      <c r="A20" s="141" t="str">
        <f>A4</f>
        <v xml:space="preserve">Производство 5291 от 27.10.2025 </v>
      </c>
      <c r="B20" s="141"/>
      <c r="C20" s="22">
        <f>C4</f>
        <v>165.38</v>
      </c>
      <c r="D20">
        <f>ROUND(D4,3)</f>
        <v>20.693999999999999</v>
      </c>
      <c r="E20">
        <f t="shared" ref="E20:J32" si="4">ROUND(E4,3)</f>
        <v>55.546999999999997</v>
      </c>
      <c r="F20">
        <f t="shared" si="4"/>
        <v>0</v>
      </c>
      <c r="G20">
        <f t="shared" si="4"/>
        <v>0</v>
      </c>
      <c r="H20">
        <f t="shared" si="4"/>
        <v>0</v>
      </c>
      <c r="I20">
        <f t="shared" si="4"/>
        <v>0</v>
      </c>
      <c r="J20">
        <f t="shared" si="4"/>
        <v>0</v>
      </c>
    </row>
    <row r="21" spans="1:10" x14ac:dyDescent="0.25">
      <c r="A21" s="141" t="str">
        <f t="shared" ref="A21:A32" si="5">A5</f>
        <v xml:space="preserve">Производство 5357 от 28.10.2025 </v>
      </c>
      <c r="B21" s="141"/>
      <c r="C21" s="22">
        <f t="shared" ref="C21:C32" si="6">C5</f>
        <v>323.44</v>
      </c>
      <c r="D21">
        <f t="shared" ref="D21:G32" si="7">ROUND(D5,3)</f>
        <v>40.472000000000001</v>
      </c>
      <c r="E21">
        <f t="shared" si="7"/>
        <v>108.63500000000001</v>
      </c>
      <c r="F21">
        <f t="shared" si="7"/>
        <v>0</v>
      </c>
      <c r="G21">
        <f t="shared" si="7"/>
        <v>0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si="5"/>
        <v xml:space="preserve">Производство 5393 от 29.10.2025 </v>
      </c>
      <c r="B22" s="141"/>
      <c r="C22" s="22">
        <f t="shared" si="6"/>
        <v>390.72</v>
      </c>
      <c r="D22">
        <f t="shared" si="7"/>
        <v>48.890999999999998</v>
      </c>
      <c r="E22">
        <f t="shared" si="7"/>
        <v>131.233</v>
      </c>
      <c r="F22">
        <f t="shared" si="7"/>
        <v>0</v>
      </c>
      <c r="G22">
        <f t="shared" si="7"/>
        <v>0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x14ac:dyDescent="0.25">
      <c r="A23" s="141" t="str">
        <f t="shared" si="5"/>
        <v xml:space="preserve">Производство 5414 от 30.10.2025 </v>
      </c>
      <c r="B23" s="141"/>
      <c r="C23" s="22">
        <f t="shared" si="6"/>
        <v>321.06</v>
      </c>
      <c r="D23">
        <f t="shared" si="7"/>
        <v>40.173999999999999</v>
      </c>
      <c r="E23">
        <f t="shared" si="7"/>
        <v>107.836</v>
      </c>
      <c r="F23">
        <f t="shared" si="7"/>
        <v>0</v>
      </c>
      <c r="G23">
        <f t="shared" si="7"/>
        <v>0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x14ac:dyDescent="0.25">
      <c r="A24" s="141" t="str">
        <f t="shared" si="5"/>
        <v xml:space="preserve">Производство 5527 от 31.10.2025 </v>
      </c>
      <c r="B24" s="141"/>
      <c r="C24" s="22">
        <f t="shared" si="6"/>
        <v>401.31</v>
      </c>
      <c r="D24">
        <f t="shared" si="7"/>
        <v>50.216000000000001</v>
      </c>
      <c r="E24">
        <f t="shared" si="7"/>
        <v>134.79</v>
      </c>
      <c r="F24">
        <f t="shared" si="7"/>
        <v>0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x14ac:dyDescent="0.25">
      <c r="A25" s="141" t="str">
        <f t="shared" si="5"/>
        <v xml:space="preserve">Производство 5534 от 01.11.2025 </v>
      </c>
      <c r="B25" s="141"/>
      <c r="C25" s="22">
        <f t="shared" si="6"/>
        <v>160.66999999999999</v>
      </c>
      <c r="D25">
        <f t="shared" si="7"/>
        <v>20.105</v>
      </c>
      <c r="E25">
        <f t="shared" si="7"/>
        <v>53.965000000000003</v>
      </c>
      <c r="F25">
        <f t="shared" si="7"/>
        <v>0</v>
      </c>
      <c r="G25">
        <f t="shared" si="7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x14ac:dyDescent="0.25">
      <c r="A26" s="141" t="str">
        <f t="shared" si="5"/>
        <v xml:space="preserve">Производство 5571 от 05.11.2025 </v>
      </c>
      <c r="B26" s="141"/>
      <c r="C26" s="22">
        <f t="shared" si="6"/>
        <v>391.77</v>
      </c>
      <c r="D26">
        <f t="shared" si="7"/>
        <v>49.021999999999998</v>
      </c>
      <c r="E26">
        <f t="shared" si="7"/>
        <v>131.58600000000001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x14ac:dyDescent="0.25">
      <c r="A27" s="141" t="str">
        <f t="shared" si="5"/>
        <v xml:space="preserve">Производство 5592 от 06.11.2025 </v>
      </c>
      <c r="B27" s="141"/>
      <c r="C27" s="22">
        <f t="shared" si="6"/>
        <v>320.88</v>
      </c>
      <c r="D27">
        <f t="shared" si="7"/>
        <v>40.152000000000001</v>
      </c>
      <c r="E27">
        <f t="shared" si="7"/>
        <v>107.776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x14ac:dyDescent="0.25">
      <c r="A28" s="141" t="str">
        <f t="shared" si="5"/>
        <v xml:space="preserve">Производство 5686 от 07.11.2025 </v>
      </c>
      <c r="B28" s="141"/>
      <c r="C28" s="22">
        <f t="shared" si="6"/>
        <v>324.97000000000003</v>
      </c>
      <c r="D28">
        <f t="shared" si="7"/>
        <v>40.664000000000001</v>
      </c>
      <c r="E28">
        <f t="shared" si="7"/>
        <v>109.149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x14ac:dyDescent="0.25">
      <c r="A29" s="141" t="str">
        <f t="shared" si="5"/>
        <v xml:space="preserve">Производство 5699 от 08.11.2025 </v>
      </c>
      <c r="B29" s="141"/>
      <c r="C29" s="22">
        <f t="shared" si="6"/>
        <v>401.69</v>
      </c>
      <c r="D29">
        <f t="shared" si="7"/>
        <v>50.264000000000003</v>
      </c>
      <c r="E29">
        <f t="shared" si="7"/>
        <v>134.91800000000001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x14ac:dyDescent="0.25">
      <c r="A30" s="141" t="str">
        <f t="shared" si="5"/>
        <v xml:space="preserve">Производство 5723 от 09.11.2025 </v>
      </c>
      <c r="B30" s="141"/>
      <c r="C30" s="22">
        <f t="shared" si="6"/>
        <v>243.24</v>
      </c>
      <c r="D30">
        <f t="shared" si="7"/>
        <v>30.437000000000001</v>
      </c>
      <c r="E30">
        <f t="shared" si="7"/>
        <v>81.697999999999993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t="15.75" thickBot="1" x14ac:dyDescent="0.3">
      <c r="A31" s="141" t="str">
        <f t="shared" si="5"/>
        <v xml:space="preserve">Производство 5744 от 10.11.2025 </v>
      </c>
      <c r="B31" s="141"/>
      <c r="C31" s="22">
        <f t="shared" si="6"/>
        <v>160.22999999999999</v>
      </c>
      <c r="D31">
        <f t="shared" si="7"/>
        <v>20.05</v>
      </c>
      <c r="E31">
        <f t="shared" si="7"/>
        <v>53.817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t="15.75" hidden="1" thickBot="1" x14ac:dyDescent="0.3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" customHeight="1" x14ac:dyDescent="0.25">
      <c r="A33" s="137" t="s">
        <v>6</v>
      </c>
      <c r="B33" s="137"/>
      <c r="C33" s="12">
        <f>SUM(C20:C32)</f>
        <v>3605.36</v>
      </c>
      <c r="D33" s="2">
        <f>SUM(D20:D32)</f>
        <v>451.14100000000002</v>
      </c>
      <c r="E33" s="2">
        <f t="shared" ref="E33:J33" si="8">SUM(E20:E32)</f>
        <v>1210.95</v>
      </c>
      <c r="F33" s="2">
        <f t="shared" si="8"/>
        <v>0</v>
      </c>
      <c r="G33" s="2">
        <f t="shared" si="8"/>
        <v>0</v>
      </c>
      <c r="H33" s="2">
        <f t="shared" si="8"/>
        <v>0</v>
      </c>
      <c r="I33" s="2">
        <f t="shared" si="8"/>
        <v>0</v>
      </c>
      <c r="J33" s="2">
        <f t="shared" si="8"/>
        <v>0</v>
      </c>
    </row>
    <row r="37" spans="1:10" x14ac:dyDescent="0.25">
      <c r="D37" s="19"/>
      <c r="E37" s="19"/>
      <c r="F37" s="19"/>
      <c r="G37" s="19"/>
      <c r="H37" s="19"/>
      <c r="I37" s="19"/>
      <c r="J37" s="19"/>
    </row>
    <row r="39" spans="1:10" x14ac:dyDescent="0.25">
      <c r="D39" s="19"/>
      <c r="E39" s="19"/>
      <c r="F39" s="19"/>
      <c r="G39" s="19"/>
      <c r="H39" s="19"/>
      <c r="I39" s="19"/>
      <c r="J39" s="19"/>
    </row>
  </sheetData>
  <mergeCells count="29">
    <mergeCell ref="A13:B13"/>
    <mergeCell ref="A14:B14"/>
    <mergeCell ref="A15:B15"/>
    <mergeCell ref="A29:B29"/>
    <mergeCell ref="A30:B30"/>
    <mergeCell ref="A20:B20"/>
    <mergeCell ref="A21:B21"/>
    <mergeCell ref="A22:B22"/>
    <mergeCell ref="A31:B31"/>
    <mergeCell ref="A32:B32"/>
    <mergeCell ref="A33:B33"/>
    <mergeCell ref="A4:B4"/>
    <mergeCell ref="A5:B5"/>
    <mergeCell ref="A6:B6"/>
    <mergeCell ref="A7:B7"/>
    <mergeCell ref="A8:B8"/>
    <mergeCell ref="A23:B23"/>
    <mergeCell ref="A24:B24"/>
    <mergeCell ref="A25:B25"/>
    <mergeCell ref="A26:B26"/>
    <mergeCell ref="A27:B27"/>
    <mergeCell ref="A28:B28"/>
    <mergeCell ref="A16:B16"/>
    <mergeCell ref="A17:B17"/>
    <mergeCell ref="A9:B9"/>
    <mergeCell ref="A10:B10"/>
    <mergeCell ref="A11:B11"/>
    <mergeCell ref="A12:B12"/>
    <mergeCell ref="A1:E1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workbookViewId="0">
      <selection activeCell="R36" sqref="R36"/>
    </sheetView>
  </sheetViews>
  <sheetFormatPr defaultRowHeight="15" x14ac:dyDescent="0.25"/>
  <cols>
    <col min="1" max="1" width="27.5703125" customWidth="1"/>
    <col min="4" max="4" width="16.28515625" customWidth="1"/>
    <col min="5" max="5" width="15.28515625" customWidth="1"/>
    <col min="6" max="6" width="12.28515625" customWidth="1"/>
    <col min="7" max="7" width="15.85546875" hidden="1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85</v>
      </c>
      <c r="B1" s="138"/>
      <c r="C1" s="138"/>
      <c r="D1" s="138"/>
      <c r="E1" s="138"/>
    </row>
    <row r="3" spans="1:10" x14ac:dyDescent="0.25">
      <c r="D3" s="8" t="s">
        <v>42</v>
      </c>
      <c r="E3" s="8" t="s">
        <v>86</v>
      </c>
      <c r="F3" s="8" t="s">
        <v>87</v>
      </c>
      <c r="G3" s="8"/>
      <c r="H3" s="4"/>
      <c r="I3" s="4"/>
      <c r="J3" s="4"/>
    </row>
    <row r="4" spans="1:10" ht="15" customHeight="1" x14ac:dyDescent="0.25">
      <c r="A4" s="148" t="s">
        <v>88</v>
      </c>
      <c r="B4" s="148"/>
      <c r="C4" s="26">
        <v>254.38</v>
      </c>
      <c r="D4">
        <f t="shared" ref="D4:J16" si="0">$C4/$C$17*D$17</f>
        <v>40.44100219827741</v>
      </c>
      <c r="E4">
        <f t="shared" si="0"/>
        <v>37.152277379365017</v>
      </c>
      <c r="F4">
        <f t="shared" si="0"/>
        <v>75.086820546085733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</row>
    <row r="5" spans="1:10" ht="15" customHeight="1" x14ac:dyDescent="0.25">
      <c r="A5" s="148" t="s">
        <v>89</v>
      </c>
      <c r="B5" s="148"/>
      <c r="C5" s="26">
        <v>408.12</v>
      </c>
      <c r="D5">
        <f t="shared" si="0"/>
        <v>64.882387833795818</v>
      </c>
      <c r="E5">
        <f t="shared" si="0"/>
        <v>59.606051749612597</v>
      </c>
      <c r="F5">
        <f t="shared" si="0"/>
        <v>120.46714836570686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48" t="s">
        <v>90</v>
      </c>
      <c r="B6" s="148"/>
      <c r="C6" s="26">
        <v>605.34</v>
      </c>
      <c r="D6">
        <f t="shared" si="0"/>
        <v>96.236167429456927</v>
      </c>
      <c r="E6">
        <f t="shared" si="0"/>
        <v>88.410093516883492</v>
      </c>
      <c r="F6">
        <f t="shared" si="0"/>
        <v>178.68172006198421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48" t="s">
        <v>91</v>
      </c>
      <c r="B7" s="148"/>
      <c r="C7" s="26">
        <v>334.39</v>
      </c>
      <c r="D7">
        <f t="shared" si="0"/>
        <v>53.160888140113158</v>
      </c>
      <c r="E7">
        <f t="shared" si="0"/>
        <v>48.837762531983131</v>
      </c>
      <c r="F7">
        <f t="shared" si="0"/>
        <v>98.703836474587675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x14ac:dyDescent="0.25">
      <c r="A8" s="148" t="s">
        <v>92</v>
      </c>
      <c r="B8" s="148"/>
      <c r="C8" s="26">
        <v>389</v>
      </c>
      <c r="D8">
        <f t="shared" si="0"/>
        <v>61.842715052794695</v>
      </c>
      <c r="E8">
        <f t="shared" si="0"/>
        <v>56.81356985837327</v>
      </c>
      <c r="F8">
        <f t="shared" si="0"/>
        <v>114.823387028962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x14ac:dyDescent="0.25">
      <c r="A9" s="148" t="s">
        <v>93</v>
      </c>
      <c r="B9" s="148"/>
      <c r="C9" s="26">
        <v>405.31</v>
      </c>
      <c r="D9">
        <f t="shared" si="0"/>
        <v>64.435657681357881</v>
      </c>
      <c r="E9">
        <f t="shared" si="0"/>
        <v>59.195650383797606</v>
      </c>
      <c r="F9">
        <f t="shared" si="0"/>
        <v>119.63770436171873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x14ac:dyDescent="0.25">
      <c r="A10" s="148" t="s">
        <v>94</v>
      </c>
      <c r="B10" s="148"/>
      <c r="C10" s="26">
        <v>536.76</v>
      </c>
      <c r="D10">
        <f t="shared" si="0"/>
        <v>85.333408050740573</v>
      </c>
      <c r="E10">
        <f t="shared" si="0"/>
        <v>78.393963386067966</v>
      </c>
      <c r="F10">
        <f t="shared" si="0"/>
        <v>158.43856355183971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" customHeight="1" thickBot="1" x14ac:dyDescent="0.3">
      <c r="A11" s="148" t="s">
        <v>95</v>
      </c>
      <c r="B11" s="148"/>
      <c r="C11" s="26">
        <v>396.58</v>
      </c>
      <c r="D11">
        <f>$C11/$C$17*D$17</f>
        <v>63.047773613463548</v>
      </c>
      <c r="E11">
        <f>$C11/$C$17*E$17</f>
        <v>57.920631193916897</v>
      </c>
      <c r="F11">
        <f t="shared" si="0"/>
        <v>117.06081960911504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6"/>
      <c r="B12" s="146"/>
      <c r="C12" s="24"/>
      <c r="D12">
        <f t="shared" ref="D12:E16" si="1">$C12/$C$17*D$17</f>
        <v>0</v>
      </c>
      <c r="E12">
        <f t="shared" si="1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si="1"/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thickBot="1" x14ac:dyDescent="0.3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.75" hidden="1" customHeight="1" thickBot="1" x14ac:dyDescent="0.3">
      <c r="A16" s="141"/>
      <c r="B16" s="141"/>
      <c r="C16" s="11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x14ac:dyDescent="0.25">
      <c r="A17" s="137" t="s">
        <v>6</v>
      </c>
      <c r="B17" s="137"/>
      <c r="C17" s="12">
        <f>SUM(C4:C16)</f>
        <v>3329.88</v>
      </c>
      <c r="D17" s="2">
        <v>529.38</v>
      </c>
      <c r="E17" s="2">
        <v>486.33</v>
      </c>
      <c r="F17" s="2">
        <v>982.9</v>
      </c>
      <c r="G17" s="2"/>
      <c r="H17" s="2"/>
      <c r="I17" s="2"/>
      <c r="J17" s="2"/>
    </row>
    <row r="19" spans="1:10" ht="12" customHeight="1" x14ac:dyDescent="0.25">
      <c r="D19" s="8" t="str">
        <f t="shared" ref="D19:F19" si="2">D3</f>
        <v>150D суровая</v>
      </c>
      <c r="E19" s="8" t="str">
        <f t="shared" si="2"/>
        <v>Пряжа 20текс</v>
      </c>
      <c r="F19" s="8" t="str">
        <f t="shared" si="2"/>
        <v>900dne</v>
      </c>
      <c r="G19" s="4">
        <f>G3</f>
        <v>0</v>
      </c>
      <c r="H19" s="4">
        <f t="shared" ref="H19:J19" si="3">H3</f>
        <v>0</v>
      </c>
      <c r="I19" s="4">
        <f t="shared" si="3"/>
        <v>0</v>
      </c>
      <c r="J19" s="4">
        <f t="shared" si="3"/>
        <v>0</v>
      </c>
    </row>
    <row r="20" spans="1:10" x14ac:dyDescent="0.25">
      <c r="A20" s="141" t="str">
        <f>A4</f>
        <v xml:space="preserve">Производство 5642 от 06.11.2025 </v>
      </c>
      <c r="B20" s="141"/>
      <c r="C20" s="22">
        <f>C4</f>
        <v>254.38</v>
      </c>
      <c r="D20">
        <f>ROUND(D4,3)</f>
        <v>40.441000000000003</v>
      </c>
      <c r="E20">
        <f t="shared" ref="E20:J32" si="4">ROUND(E4,3)</f>
        <v>37.152000000000001</v>
      </c>
      <c r="F20">
        <f t="shared" si="4"/>
        <v>75.087000000000003</v>
      </c>
      <c r="G20">
        <f t="shared" si="4"/>
        <v>0</v>
      </c>
      <c r="H20">
        <f t="shared" si="4"/>
        <v>0</v>
      </c>
      <c r="I20">
        <f t="shared" si="4"/>
        <v>0</v>
      </c>
      <c r="J20">
        <f t="shared" si="4"/>
        <v>0</v>
      </c>
    </row>
    <row r="21" spans="1:10" x14ac:dyDescent="0.25">
      <c r="A21" s="141" t="str">
        <f t="shared" ref="A21:A32" si="5">A5</f>
        <v xml:space="preserve">Производство 5668 от 07.11.2025 </v>
      </c>
      <c r="B21" s="141"/>
      <c r="C21" s="22">
        <f t="shared" ref="C21:C32" si="6">C5</f>
        <v>408.12</v>
      </c>
      <c r="D21">
        <f t="shared" ref="D21:G32" si="7">ROUND(D5,3)</f>
        <v>64.882000000000005</v>
      </c>
      <c r="E21">
        <f t="shared" si="7"/>
        <v>59.606000000000002</v>
      </c>
      <c r="F21">
        <f t="shared" si="7"/>
        <v>120.467</v>
      </c>
      <c r="G21">
        <f t="shared" si="7"/>
        <v>0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si="5"/>
        <v xml:space="preserve">Производство 5701 от 08.11.2025 </v>
      </c>
      <c r="B22" s="141"/>
      <c r="C22" s="22">
        <f t="shared" si="6"/>
        <v>605.34</v>
      </c>
      <c r="D22">
        <f t="shared" si="7"/>
        <v>96.236000000000004</v>
      </c>
      <c r="E22">
        <f t="shared" si="7"/>
        <v>88.41</v>
      </c>
      <c r="F22">
        <f t="shared" si="7"/>
        <v>178.68199999999999</v>
      </c>
      <c r="G22">
        <f t="shared" si="7"/>
        <v>0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x14ac:dyDescent="0.25">
      <c r="A23" s="141" t="str">
        <f t="shared" si="5"/>
        <v xml:space="preserve">Производство 5716 от 09.11.2025 </v>
      </c>
      <c r="B23" s="141"/>
      <c r="C23" s="22">
        <f t="shared" si="6"/>
        <v>334.39</v>
      </c>
      <c r="D23">
        <f t="shared" si="7"/>
        <v>53.161000000000001</v>
      </c>
      <c r="E23">
        <f t="shared" si="7"/>
        <v>48.838000000000001</v>
      </c>
      <c r="F23">
        <f t="shared" si="7"/>
        <v>98.703999999999994</v>
      </c>
      <c r="G23">
        <f t="shared" si="7"/>
        <v>0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x14ac:dyDescent="0.25">
      <c r="A24" s="141" t="str">
        <f t="shared" si="5"/>
        <v xml:space="preserve">Производство 5759 от 10.11.2025 </v>
      </c>
      <c r="B24" s="141"/>
      <c r="C24" s="22">
        <f t="shared" si="6"/>
        <v>389</v>
      </c>
      <c r="D24">
        <f t="shared" si="7"/>
        <v>61.843000000000004</v>
      </c>
      <c r="E24">
        <f t="shared" si="7"/>
        <v>56.814</v>
      </c>
      <c r="F24">
        <f t="shared" si="7"/>
        <v>114.82299999999999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x14ac:dyDescent="0.25">
      <c r="A25" s="141" t="str">
        <f t="shared" si="5"/>
        <v xml:space="preserve">Производство 5778 от 11.11.2025 </v>
      </c>
      <c r="B25" s="141"/>
      <c r="C25" s="22">
        <f t="shared" si="6"/>
        <v>405.31</v>
      </c>
      <c r="D25">
        <f t="shared" si="7"/>
        <v>64.436000000000007</v>
      </c>
      <c r="E25">
        <f t="shared" si="7"/>
        <v>59.195999999999998</v>
      </c>
      <c r="F25">
        <f t="shared" si="7"/>
        <v>119.63800000000001</v>
      </c>
      <c r="G25">
        <f t="shared" si="7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x14ac:dyDescent="0.25">
      <c r="A26" s="141" t="str">
        <f t="shared" si="5"/>
        <v xml:space="preserve">Производство 5907 от 12.11.2025 </v>
      </c>
      <c r="B26" s="141"/>
      <c r="C26" s="22">
        <f t="shared" si="6"/>
        <v>536.76</v>
      </c>
      <c r="D26">
        <f t="shared" si="7"/>
        <v>85.332999999999998</v>
      </c>
      <c r="E26">
        <f t="shared" si="7"/>
        <v>78.394000000000005</v>
      </c>
      <c r="F26">
        <f t="shared" si="7"/>
        <v>158.43899999999999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t="15.75" thickBot="1" x14ac:dyDescent="0.3">
      <c r="A27" s="141" t="str">
        <f t="shared" si="5"/>
        <v xml:space="preserve">Производство 5969 от 13.11.2025 </v>
      </c>
      <c r="B27" s="141"/>
      <c r="C27" s="22">
        <f t="shared" si="6"/>
        <v>396.58</v>
      </c>
      <c r="D27">
        <f t="shared" si="7"/>
        <v>63.048000000000002</v>
      </c>
      <c r="E27">
        <f t="shared" si="7"/>
        <v>57.920999999999999</v>
      </c>
      <c r="F27">
        <f t="shared" si="7"/>
        <v>117.06100000000001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idden="1" x14ac:dyDescent="0.25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idden="1" x14ac:dyDescent="0.25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idden="1" x14ac:dyDescent="0.25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t="15.75" hidden="1" thickBot="1" x14ac:dyDescent="0.3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t="15.75" hidden="1" thickBot="1" x14ac:dyDescent="0.3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" customHeight="1" x14ac:dyDescent="0.25">
      <c r="A33" s="137" t="s">
        <v>6</v>
      </c>
      <c r="B33" s="137"/>
      <c r="C33" s="12">
        <f>SUM(C20:C32)</f>
        <v>3329.88</v>
      </c>
      <c r="D33" s="2">
        <f>SUM(D20:D32)</f>
        <v>529.38</v>
      </c>
      <c r="E33" s="2">
        <f t="shared" ref="E33:J33" si="8">SUM(E20:E32)</f>
        <v>486.33099999999996</v>
      </c>
      <c r="F33" s="2">
        <f t="shared" si="8"/>
        <v>982.90100000000007</v>
      </c>
      <c r="G33" s="2">
        <f t="shared" si="8"/>
        <v>0</v>
      </c>
      <c r="H33" s="2">
        <f t="shared" si="8"/>
        <v>0</v>
      </c>
      <c r="I33" s="2">
        <f t="shared" si="8"/>
        <v>0</v>
      </c>
      <c r="J33" s="2">
        <f t="shared" si="8"/>
        <v>0</v>
      </c>
    </row>
    <row r="37" spans="1:10" x14ac:dyDescent="0.25">
      <c r="D37" s="23"/>
      <c r="E37" s="23"/>
      <c r="F37" s="23"/>
      <c r="G37" s="23"/>
      <c r="H37" s="23"/>
      <c r="I37" s="23"/>
      <c r="J37" s="23"/>
    </row>
    <row r="39" spans="1:10" x14ac:dyDescent="0.25">
      <c r="D39" s="23"/>
      <c r="E39" s="23"/>
      <c r="F39" s="23"/>
      <c r="G39" s="23"/>
      <c r="H39" s="23"/>
      <c r="I39" s="23"/>
      <c r="J39" s="23"/>
    </row>
  </sheetData>
  <mergeCells count="29">
    <mergeCell ref="A1:E1"/>
    <mergeCell ref="A12:B12"/>
    <mergeCell ref="A13:B13"/>
    <mergeCell ref="A14:B14"/>
    <mergeCell ref="A9:B9"/>
    <mergeCell ref="A10:B10"/>
    <mergeCell ref="A11:B11"/>
    <mergeCell ref="A4:B4"/>
    <mergeCell ref="A5:B5"/>
    <mergeCell ref="A6:B6"/>
    <mergeCell ref="A7:B7"/>
    <mergeCell ref="A8:B8"/>
    <mergeCell ref="A28:B28"/>
    <mergeCell ref="A15:B15"/>
    <mergeCell ref="A16:B16"/>
    <mergeCell ref="A17:B17"/>
    <mergeCell ref="A20:B20"/>
    <mergeCell ref="A21:B21"/>
    <mergeCell ref="A22:B22"/>
    <mergeCell ref="A23:B23"/>
    <mergeCell ref="A24:B24"/>
    <mergeCell ref="A25:B25"/>
    <mergeCell ref="A26:B26"/>
    <mergeCell ref="A27:B27"/>
    <mergeCell ref="A29:B29"/>
    <mergeCell ref="A30:B30"/>
    <mergeCell ref="A31:B31"/>
    <mergeCell ref="A32:B32"/>
    <mergeCell ref="A33:B33"/>
  </mergeCells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workbookViewId="0">
      <selection activeCell="A34" sqref="A34:B34"/>
    </sheetView>
  </sheetViews>
  <sheetFormatPr defaultRowHeight="15" x14ac:dyDescent="0.25"/>
  <cols>
    <col min="1" max="1" width="27.5703125" customWidth="1"/>
    <col min="3" max="3" width="13.5703125" customWidth="1"/>
    <col min="4" max="4" width="16.28515625" customWidth="1"/>
    <col min="5" max="5" width="15.28515625" customWidth="1"/>
    <col min="6" max="6" width="12.28515625" customWidth="1"/>
    <col min="7" max="7" width="15.85546875" hidden="1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96</v>
      </c>
      <c r="B1" s="138"/>
      <c r="C1" s="138"/>
      <c r="D1" s="138"/>
      <c r="E1" s="138"/>
    </row>
    <row r="2" spans="1:10" x14ac:dyDescent="0.25">
      <c r="A2" s="36"/>
      <c r="B2" s="36"/>
      <c r="C2" s="36"/>
      <c r="D2" s="36"/>
      <c r="E2" s="36"/>
    </row>
    <row r="3" spans="1:10" ht="18.75" x14ac:dyDescent="0.3">
      <c r="A3" s="35" t="s">
        <v>145</v>
      </c>
    </row>
    <row r="4" spans="1:10" x14ac:dyDescent="0.25">
      <c r="D4" s="8" t="s">
        <v>42</v>
      </c>
      <c r="E4" s="8" t="s">
        <v>44</v>
      </c>
      <c r="F4" s="8" t="s">
        <v>97</v>
      </c>
      <c r="G4" s="8"/>
      <c r="H4" s="4"/>
      <c r="I4" s="4"/>
      <c r="J4" s="4"/>
    </row>
    <row r="5" spans="1:10" ht="15" customHeight="1" x14ac:dyDescent="0.25">
      <c r="A5" s="149" t="s">
        <v>98</v>
      </c>
      <c r="B5" s="149"/>
      <c r="C5" s="27">
        <v>82.04</v>
      </c>
      <c r="D5">
        <f t="shared" ref="D5:J17" si="0">$C5/$C$18*D$18</f>
        <v>20.6653070972995</v>
      </c>
      <c r="E5">
        <f t="shared" si="0"/>
        <v>9.9441074772696432</v>
      </c>
      <c r="F5">
        <f t="shared" si="0"/>
        <v>7.355284751436197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49" t="s">
        <v>99</v>
      </c>
      <c r="B6" s="149"/>
      <c r="C6" s="27">
        <v>373.96</v>
      </c>
      <c r="D6">
        <f t="shared" si="0"/>
        <v>94.197930791152118</v>
      </c>
      <c r="E6">
        <f t="shared" si="0"/>
        <v>45.327869724521641</v>
      </c>
      <c r="F6">
        <f t="shared" si="0"/>
        <v>33.527331614420767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49" t="s">
        <v>100</v>
      </c>
      <c r="B7" s="149"/>
      <c r="C7" s="27">
        <v>325.10000000000002</v>
      </c>
      <c r="D7">
        <f t="shared" si="0"/>
        <v>81.890435608630753</v>
      </c>
      <c r="E7">
        <f t="shared" si="0"/>
        <v>39.405525851540233</v>
      </c>
      <c r="F7">
        <f t="shared" si="0"/>
        <v>29.14679513276338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thickBot="1" x14ac:dyDescent="0.3">
      <c r="A8" s="149" t="s">
        <v>101</v>
      </c>
      <c r="B8" s="149"/>
      <c r="C8" s="27">
        <v>324.25</v>
      </c>
      <c r="D8">
        <f t="shared" si="0"/>
        <v>81.676326502917632</v>
      </c>
      <c r="E8">
        <f t="shared" si="0"/>
        <v>39.302496946668477</v>
      </c>
      <c r="F8">
        <f t="shared" si="0"/>
        <v>29.070588501379653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idden="1" x14ac:dyDescent="0.25">
      <c r="A9" s="148"/>
      <c r="B9" s="148"/>
      <c r="C9" s="26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idden="1" x14ac:dyDescent="0.25">
      <c r="A10" s="148"/>
      <c r="B10" s="148"/>
      <c r="C10" s="26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idden="1" x14ac:dyDescent="0.25">
      <c r="A11" s="148"/>
      <c r="B11" s="148"/>
      <c r="C11" s="26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thickBot="1" x14ac:dyDescent="0.3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thickBot="1" x14ac:dyDescent="0.3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1105.3499999999999</v>
      </c>
      <c r="D18" s="2">
        <v>278.43</v>
      </c>
      <c r="E18" s="2">
        <v>133.97999999999999</v>
      </c>
      <c r="F18" s="2">
        <v>99.1</v>
      </c>
      <c r="G18" s="2"/>
      <c r="H18" s="2"/>
      <c r="I18" s="2"/>
      <c r="J18" s="2"/>
    </row>
    <row r="20" spans="1:10" ht="12" customHeight="1" x14ac:dyDescent="0.25">
      <c r="D20" s="8" t="str">
        <f t="shared" ref="D20:F20" si="2">D4</f>
        <v>150D суровая</v>
      </c>
      <c r="E20" s="8" t="str">
        <f t="shared" si="2"/>
        <v>300dne</v>
      </c>
      <c r="F20" s="8" t="str">
        <f t="shared" si="2"/>
        <v>трилоб сер</v>
      </c>
      <c r="G20" s="4">
        <f>G4</f>
        <v>0</v>
      </c>
      <c r="H20" s="4">
        <f t="shared" ref="H20:J20" si="3">H4</f>
        <v>0</v>
      </c>
      <c r="I20" s="4">
        <f t="shared" si="3"/>
        <v>0</v>
      </c>
      <c r="J20" s="4">
        <f t="shared" si="3"/>
        <v>0</v>
      </c>
    </row>
    <row r="21" spans="1:10" x14ac:dyDescent="0.25">
      <c r="A21" s="141" t="str">
        <f>A5</f>
        <v xml:space="preserve">Производство 5773 от 10.11.2025 </v>
      </c>
      <c r="B21" s="141"/>
      <c r="C21" s="22">
        <f>C5</f>
        <v>82.04</v>
      </c>
      <c r="D21">
        <f>ROUND(D5,3)</f>
        <v>20.664999999999999</v>
      </c>
      <c r="E21">
        <f t="shared" ref="E21:J33" si="4">ROUND(E5,3)</f>
        <v>9.9440000000000008</v>
      </c>
      <c r="F21">
        <f t="shared" si="4"/>
        <v>7.3550000000000004</v>
      </c>
      <c r="G21">
        <f t="shared" si="4"/>
        <v>0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ref="A22:A33" si="5">A6</f>
        <v xml:space="preserve">Производство 5804 от 11.11.2025 </v>
      </c>
      <c r="B22" s="141"/>
      <c r="C22" s="22">
        <f t="shared" ref="C22:C33" si="6">C6</f>
        <v>373.96</v>
      </c>
      <c r="D22">
        <f t="shared" ref="D22:G33" si="7">ROUND(D6,3)</f>
        <v>94.197999999999993</v>
      </c>
      <c r="E22">
        <f t="shared" si="7"/>
        <v>45.328000000000003</v>
      </c>
      <c r="F22">
        <f t="shared" si="7"/>
        <v>33.527000000000001</v>
      </c>
      <c r="G22">
        <f t="shared" si="7"/>
        <v>0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x14ac:dyDescent="0.25">
      <c r="A23" s="141" t="str">
        <f t="shared" si="5"/>
        <v xml:space="preserve">Производство 5906 от 12.11.2025 </v>
      </c>
      <c r="B23" s="141"/>
      <c r="C23" s="22">
        <f t="shared" si="6"/>
        <v>325.10000000000002</v>
      </c>
      <c r="D23">
        <f t="shared" si="7"/>
        <v>81.89</v>
      </c>
      <c r="E23">
        <f t="shared" si="7"/>
        <v>39.405999999999999</v>
      </c>
      <c r="F23">
        <f t="shared" si="7"/>
        <v>29.146999999999998</v>
      </c>
      <c r="G23">
        <f t="shared" si="7"/>
        <v>0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ht="15.75" thickBot="1" x14ac:dyDescent="0.3">
      <c r="A24" s="141" t="str">
        <f t="shared" si="5"/>
        <v xml:space="preserve">Производство 5918 от 13.11.2025 </v>
      </c>
      <c r="B24" s="141"/>
      <c r="C24" s="22">
        <f t="shared" si="6"/>
        <v>324.25</v>
      </c>
      <c r="D24">
        <f t="shared" si="7"/>
        <v>81.676000000000002</v>
      </c>
      <c r="E24">
        <f t="shared" si="7"/>
        <v>39.302</v>
      </c>
      <c r="F24">
        <f t="shared" si="7"/>
        <v>29.071000000000002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hidden="1" x14ac:dyDescent="0.25">
      <c r="A25" s="141">
        <f t="shared" si="5"/>
        <v>0</v>
      </c>
      <c r="B25" s="141"/>
      <c r="C25" s="22">
        <f t="shared" si="6"/>
        <v>0</v>
      </c>
      <c r="D25">
        <f t="shared" si="7"/>
        <v>0</v>
      </c>
      <c r="E25">
        <f t="shared" si="7"/>
        <v>0</v>
      </c>
      <c r="F25">
        <f t="shared" si="7"/>
        <v>0</v>
      </c>
      <c r="G25">
        <f t="shared" si="7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idden="1" x14ac:dyDescent="0.25">
      <c r="A26" s="141">
        <f t="shared" si="5"/>
        <v>0</v>
      </c>
      <c r="B26" s="141"/>
      <c r="C26" s="22">
        <f t="shared" si="6"/>
        <v>0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idden="1" x14ac:dyDescent="0.25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t="15.75" hidden="1" thickBot="1" x14ac:dyDescent="0.3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t="15.75" hidden="1" thickBot="1" x14ac:dyDescent="0.3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t="15.75" hidden="1" thickBot="1" x14ac:dyDescent="0.3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t="15.75" hidden="1" thickBot="1" x14ac:dyDescent="0.3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t="15.75" hidden="1" thickBot="1" x14ac:dyDescent="0.3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1105.3499999999999</v>
      </c>
      <c r="D34" s="2">
        <f>SUM(D21:D33)</f>
        <v>278.42899999999997</v>
      </c>
      <c r="E34" s="2">
        <f t="shared" ref="E34:J34" si="8">SUM(E21:E33)</f>
        <v>133.97999999999999</v>
      </c>
      <c r="F34" s="2">
        <f t="shared" si="8"/>
        <v>99.1</v>
      </c>
      <c r="G34" s="2">
        <f t="shared" si="8"/>
        <v>0</v>
      </c>
      <c r="H34" s="2">
        <f t="shared" si="8"/>
        <v>0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>150D суровая</v>
      </c>
      <c r="D38" s="23">
        <f>D18/C18</f>
        <v>0.25189306554485008</v>
      </c>
      <c r="E38" s="23">
        <v>0.28299999999999997</v>
      </c>
      <c r="F38" s="29">
        <f>D38/E38-1</f>
        <v>-0.10991849630795014</v>
      </c>
      <c r="G38" s="23"/>
      <c r="H38" s="23"/>
      <c r="I38" s="23"/>
      <c r="J38" s="23"/>
    </row>
    <row r="39" spans="1:10" x14ac:dyDescent="0.25">
      <c r="C39" t="str">
        <f>E4</f>
        <v>300dne</v>
      </c>
      <c r="D39" s="23">
        <f>E18/C18</f>
        <v>0.12121047631971774</v>
      </c>
      <c r="E39" s="23">
        <v>0.13200000000000001</v>
      </c>
      <c r="F39" s="29">
        <f t="shared" ref="F39:F41" si="9">D39/E39-1</f>
        <v>-8.1738815759714201E-2</v>
      </c>
    </row>
    <row r="40" spans="1:10" x14ac:dyDescent="0.25">
      <c r="C40" t="str">
        <f>F4</f>
        <v>трилоб сер</v>
      </c>
      <c r="D40" s="23">
        <f>F18/C18</f>
        <v>8.9654860451440721E-2</v>
      </c>
      <c r="E40" s="23">
        <v>0.13900000000000001</v>
      </c>
      <c r="F40" s="29">
        <f t="shared" si="9"/>
        <v>-0.35500100394646972</v>
      </c>
      <c r="G40" s="23"/>
      <c r="H40" s="23"/>
      <c r="I40" s="23"/>
      <c r="J40" s="23"/>
    </row>
    <row r="41" spans="1:10" hidden="1" x14ac:dyDescent="0.25">
      <c r="C41">
        <f>G4</f>
        <v>0</v>
      </c>
      <c r="D41" s="23">
        <f>G18/C18</f>
        <v>0</v>
      </c>
      <c r="E41" s="23">
        <v>8.7999999999999995E-2</v>
      </c>
      <c r="F41" s="29">
        <f t="shared" si="9"/>
        <v>-1</v>
      </c>
    </row>
  </sheetData>
  <mergeCells count="29">
    <mergeCell ref="A15:B15"/>
    <mergeCell ref="A1:E1"/>
    <mergeCell ref="A9:B9"/>
    <mergeCell ref="A25:B25"/>
    <mergeCell ref="A26:B26"/>
    <mergeCell ref="A12:B12"/>
    <mergeCell ref="A13:B13"/>
    <mergeCell ref="A14:B14"/>
    <mergeCell ref="A27:B27"/>
    <mergeCell ref="A28:B28"/>
    <mergeCell ref="A29:B29"/>
    <mergeCell ref="A5:B5"/>
    <mergeCell ref="A6:B6"/>
    <mergeCell ref="A7:B7"/>
    <mergeCell ref="A8:B8"/>
    <mergeCell ref="A24:B24"/>
    <mergeCell ref="A16:B16"/>
    <mergeCell ref="A17:B17"/>
    <mergeCell ref="A18:B18"/>
    <mergeCell ref="A21:B21"/>
    <mergeCell ref="A22:B22"/>
    <mergeCell ref="A23:B23"/>
    <mergeCell ref="A10:B10"/>
    <mergeCell ref="A11:B11"/>
    <mergeCell ref="A30:B30"/>
    <mergeCell ref="A31:B31"/>
    <mergeCell ref="A32:B32"/>
    <mergeCell ref="A33:B33"/>
    <mergeCell ref="A34:B34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selection activeCell="C36" sqref="C36"/>
    </sheetView>
  </sheetViews>
  <sheetFormatPr defaultRowHeight="15" x14ac:dyDescent="0.25"/>
  <cols>
    <col min="1" max="1" width="27.5703125" customWidth="1"/>
    <col min="3" max="3" width="13.7109375" customWidth="1"/>
    <col min="4" max="4" width="16.28515625" customWidth="1"/>
    <col min="5" max="5" width="15.28515625" customWidth="1"/>
    <col min="6" max="6" width="14.5703125" customWidth="1"/>
    <col min="7" max="7" width="15.8554687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110</v>
      </c>
      <c r="B1" s="138"/>
      <c r="C1" s="138"/>
      <c r="D1" s="138"/>
      <c r="E1" s="138"/>
    </row>
    <row r="2" spans="1:10" ht="22.5" customHeight="1" x14ac:dyDescent="0.25">
      <c r="A2" s="32" t="s">
        <v>116</v>
      </c>
    </row>
    <row r="3" spans="1:10" x14ac:dyDescent="0.25">
      <c r="D3" s="8" t="s">
        <v>7</v>
      </c>
      <c r="E3" s="8" t="s">
        <v>111</v>
      </c>
      <c r="F3" s="8" t="s">
        <v>42</v>
      </c>
      <c r="G3" s="8" t="s">
        <v>112</v>
      </c>
      <c r="H3" s="4"/>
      <c r="I3" s="4"/>
      <c r="J3" s="4"/>
    </row>
    <row r="4" spans="1:10" ht="15" customHeight="1" x14ac:dyDescent="0.25">
      <c r="A4" s="150" t="s">
        <v>113</v>
      </c>
      <c r="B4" s="150"/>
      <c r="C4" s="31">
        <v>148.58000000000001</v>
      </c>
      <c r="D4">
        <f t="shared" ref="D4:J16" si="0">$C4/$C$17*D$17</f>
        <v>31.323480288409801</v>
      </c>
      <c r="E4">
        <f t="shared" si="0"/>
        <v>17.938915055422033</v>
      </c>
      <c r="F4">
        <f t="shared" si="0"/>
        <v>15.131420884600209</v>
      </c>
      <c r="G4">
        <f t="shared" si="0"/>
        <v>38.831894931305378</v>
      </c>
      <c r="H4">
        <f t="shared" si="0"/>
        <v>0</v>
      </c>
      <c r="I4">
        <f t="shared" si="0"/>
        <v>0</v>
      </c>
      <c r="J4">
        <f t="shared" si="0"/>
        <v>0</v>
      </c>
    </row>
    <row r="5" spans="1:10" ht="15" customHeight="1" x14ac:dyDescent="0.25">
      <c r="A5" s="150" t="s">
        <v>114</v>
      </c>
      <c r="B5" s="150"/>
      <c r="C5" s="31">
        <v>766.1</v>
      </c>
      <c r="D5">
        <f t="shared" si="0"/>
        <v>161.50840119094593</v>
      </c>
      <c r="E5">
        <f t="shared" si="0"/>
        <v>92.495644258707884</v>
      </c>
      <c r="F5">
        <f t="shared" si="0"/>
        <v>78.019797682677478</v>
      </c>
      <c r="G5">
        <f t="shared" si="0"/>
        <v>200.22287459195752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thickBot="1" x14ac:dyDescent="0.3">
      <c r="A6" s="150" t="s">
        <v>115</v>
      </c>
      <c r="B6" s="150"/>
      <c r="C6" s="31">
        <v>200.4</v>
      </c>
      <c r="D6">
        <f t="shared" si="0"/>
        <v>42.248118520644255</v>
      </c>
      <c r="E6">
        <f t="shared" si="0"/>
        <v>24.195440685870068</v>
      </c>
      <c r="F6">
        <f t="shared" si="0"/>
        <v>20.408781432722314</v>
      </c>
      <c r="G6">
        <f t="shared" si="0"/>
        <v>52.375230476737087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hidden="1" customHeight="1" x14ac:dyDescent="0.25">
      <c r="A7" s="150"/>
      <c r="B7" s="150"/>
      <c r="C7" s="31"/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idden="1" x14ac:dyDescent="0.25">
      <c r="A8" s="148"/>
      <c r="B8" s="148"/>
      <c r="C8" s="26"/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idden="1" x14ac:dyDescent="0.25">
      <c r="A9" s="148"/>
      <c r="B9" s="148"/>
      <c r="C9" s="26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idden="1" x14ac:dyDescent="0.25">
      <c r="A10" s="148"/>
      <c r="B10" s="148"/>
      <c r="C10" s="26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" hidden="1" customHeight="1" x14ac:dyDescent="0.25">
      <c r="A11" s="148"/>
      <c r="B11" s="148"/>
      <c r="C11" s="26"/>
      <c r="D11">
        <f>$C11/$C$17*D$17</f>
        <v>0</v>
      </c>
      <c r="E11">
        <f>$C11/$C$17*E$17</f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6"/>
      <c r="B12" s="146"/>
      <c r="C12" s="24"/>
      <c r="D12">
        <f t="shared" ref="D12:E16" si="1">$C12/$C$17*D$17</f>
        <v>0</v>
      </c>
      <c r="E12">
        <f t="shared" si="1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si="1"/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.75" hidden="1" customHeight="1" thickBot="1" x14ac:dyDescent="0.3">
      <c r="A16" s="141"/>
      <c r="B16" s="141"/>
      <c r="C16" s="11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x14ac:dyDescent="0.25">
      <c r="A17" s="137" t="s">
        <v>6</v>
      </c>
      <c r="B17" s="137"/>
      <c r="C17" s="12">
        <f>SUM(C4:C16)</f>
        <v>1115.0800000000002</v>
      </c>
      <c r="D17" s="2">
        <v>235.08</v>
      </c>
      <c r="E17" s="2">
        <v>134.63</v>
      </c>
      <c r="F17" s="2">
        <v>113.56</v>
      </c>
      <c r="G17" s="2">
        <v>291.43</v>
      </c>
      <c r="H17" s="2"/>
      <c r="I17" s="2"/>
      <c r="J17" s="2"/>
    </row>
    <row r="19" spans="1:10" ht="12" customHeight="1" x14ac:dyDescent="0.25">
      <c r="D19" s="8" t="str">
        <f t="shared" ref="D19:F19" si="2">D3</f>
        <v>600dne</v>
      </c>
      <c r="E19" s="8" t="str">
        <f t="shared" si="2"/>
        <v>150D №246</v>
      </c>
      <c r="F19" s="8" t="str">
        <f t="shared" si="2"/>
        <v>150D суровая</v>
      </c>
      <c r="G19" s="4" t="str">
        <f>G3</f>
        <v>пряжа 25текс</v>
      </c>
      <c r="H19" s="4">
        <f t="shared" ref="H19:J19" si="3">H3</f>
        <v>0</v>
      </c>
      <c r="I19" s="4">
        <f t="shared" si="3"/>
        <v>0</v>
      </c>
      <c r="J19" s="4">
        <f t="shared" si="3"/>
        <v>0</v>
      </c>
    </row>
    <row r="20" spans="1:10" x14ac:dyDescent="0.25">
      <c r="A20" s="141" t="str">
        <f>A4</f>
        <v xml:space="preserve">Производство 5981 от 13.11.2025 </v>
      </c>
      <c r="B20" s="141"/>
      <c r="C20" s="22">
        <f>C4</f>
        <v>148.58000000000001</v>
      </c>
      <c r="D20">
        <f>ROUND(D4,3)</f>
        <v>31.323</v>
      </c>
      <c r="E20">
        <f t="shared" ref="E20:J32" si="4">ROUND(E4,3)</f>
        <v>17.939</v>
      </c>
      <c r="F20">
        <f t="shared" si="4"/>
        <v>15.131</v>
      </c>
      <c r="G20">
        <f t="shared" si="4"/>
        <v>38.832000000000001</v>
      </c>
      <c r="H20">
        <f t="shared" si="4"/>
        <v>0</v>
      </c>
      <c r="I20">
        <f t="shared" si="4"/>
        <v>0</v>
      </c>
      <c r="J20">
        <f t="shared" si="4"/>
        <v>0</v>
      </c>
    </row>
    <row r="21" spans="1:10" x14ac:dyDescent="0.25">
      <c r="A21" s="141" t="str">
        <f t="shared" ref="A21:A32" si="5">A5</f>
        <v xml:space="preserve">Производство 6011 от 14.11.2025 </v>
      </c>
      <c r="B21" s="141"/>
      <c r="C21" s="22">
        <f t="shared" ref="C21:C32" si="6">C5</f>
        <v>766.1</v>
      </c>
      <c r="D21">
        <f t="shared" ref="D21:G32" si="7">ROUND(D5,3)</f>
        <v>161.50800000000001</v>
      </c>
      <c r="E21">
        <f t="shared" si="7"/>
        <v>92.495999999999995</v>
      </c>
      <c r="F21">
        <f t="shared" si="7"/>
        <v>78.02</v>
      </c>
      <c r="G21">
        <f t="shared" si="7"/>
        <v>200.22300000000001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ht="15.75" thickBot="1" x14ac:dyDescent="0.3">
      <c r="A22" s="141" t="str">
        <f t="shared" si="5"/>
        <v xml:space="preserve">Производство 6042 от 15.11.2025 </v>
      </c>
      <c r="B22" s="141"/>
      <c r="C22" s="22">
        <f t="shared" si="6"/>
        <v>200.4</v>
      </c>
      <c r="D22">
        <f t="shared" si="7"/>
        <v>42.247999999999998</v>
      </c>
      <c r="E22">
        <f t="shared" si="7"/>
        <v>24.195</v>
      </c>
      <c r="F22">
        <f t="shared" si="7"/>
        <v>20.408999999999999</v>
      </c>
      <c r="G22">
        <f t="shared" si="7"/>
        <v>52.375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hidden="1" x14ac:dyDescent="0.25">
      <c r="A23" s="141">
        <f t="shared" si="5"/>
        <v>0</v>
      </c>
      <c r="B23" s="141"/>
      <c r="C23" s="22">
        <f t="shared" si="6"/>
        <v>0</v>
      </c>
      <c r="D23">
        <f t="shared" si="7"/>
        <v>0</v>
      </c>
      <c r="E23">
        <f t="shared" si="7"/>
        <v>0</v>
      </c>
      <c r="F23">
        <f t="shared" si="7"/>
        <v>0</v>
      </c>
      <c r="G23">
        <f t="shared" si="7"/>
        <v>0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hidden="1" x14ac:dyDescent="0.25">
      <c r="A24" s="141">
        <f t="shared" si="5"/>
        <v>0</v>
      </c>
      <c r="B24" s="141"/>
      <c r="C24" s="22">
        <f t="shared" si="6"/>
        <v>0</v>
      </c>
      <c r="D24">
        <f t="shared" si="7"/>
        <v>0</v>
      </c>
      <c r="E24">
        <f t="shared" si="7"/>
        <v>0</v>
      </c>
      <c r="F24">
        <f t="shared" si="7"/>
        <v>0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hidden="1" x14ac:dyDescent="0.25">
      <c r="A25" s="141">
        <f t="shared" si="5"/>
        <v>0</v>
      </c>
      <c r="B25" s="141"/>
      <c r="C25" s="22">
        <f t="shared" si="6"/>
        <v>0</v>
      </c>
      <c r="D25">
        <f t="shared" si="7"/>
        <v>0</v>
      </c>
      <c r="E25">
        <f t="shared" si="7"/>
        <v>0</v>
      </c>
      <c r="F25">
        <f t="shared" si="7"/>
        <v>0</v>
      </c>
      <c r="G25">
        <f t="shared" si="7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idden="1" x14ac:dyDescent="0.25">
      <c r="A26" s="141">
        <f t="shared" si="5"/>
        <v>0</v>
      </c>
      <c r="B26" s="141"/>
      <c r="C26" s="22">
        <f t="shared" si="6"/>
        <v>0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idden="1" x14ac:dyDescent="0.25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idden="1" x14ac:dyDescent="0.25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idden="1" x14ac:dyDescent="0.25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idden="1" x14ac:dyDescent="0.25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idden="1" x14ac:dyDescent="0.25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t="15.75" hidden="1" thickBot="1" x14ac:dyDescent="0.3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" customHeight="1" x14ac:dyDescent="0.25">
      <c r="A33" s="137" t="s">
        <v>6</v>
      </c>
      <c r="B33" s="137"/>
      <c r="C33" s="12">
        <f>SUM(C20:C32)</f>
        <v>1115.0800000000002</v>
      </c>
      <c r="D33" s="2">
        <f>SUM(D20:D32)</f>
        <v>235.07900000000001</v>
      </c>
      <c r="E33" s="2">
        <f t="shared" ref="E33:J33" si="8">SUM(E20:E32)</f>
        <v>134.63</v>
      </c>
      <c r="F33" s="2">
        <f t="shared" si="8"/>
        <v>113.56</v>
      </c>
      <c r="G33" s="2">
        <f t="shared" si="8"/>
        <v>291.43</v>
      </c>
      <c r="H33" s="2">
        <f t="shared" si="8"/>
        <v>0</v>
      </c>
      <c r="I33" s="2">
        <f t="shared" si="8"/>
        <v>0</v>
      </c>
      <c r="J33" s="2">
        <f t="shared" si="8"/>
        <v>0</v>
      </c>
    </row>
    <row r="36" spans="1:10" x14ac:dyDescent="0.25">
      <c r="D36" t="s">
        <v>107</v>
      </c>
      <c r="E36" t="s">
        <v>108</v>
      </c>
      <c r="F36" t="s">
        <v>109</v>
      </c>
    </row>
    <row r="37" spans="1:10" x14ac:dyDescent="0.25">
      <c r="C37" t="str">
        <f>D3</f>
        <v>600dne</v>
      </c>
      <c r="D37" s="25">
        <f>D17/C17</f>
        <v>0.2108189546938336</v>
      </c>
      <c r="E37" s="25">
        <v>0.20499999999999999</v>
      </c>
      <c r="F37" s="29">
        <f>D37/E37-1</f>
        <v>2.8385144847968835E-2</v>
      </c>
      <c r="G37" s="25"/>
      <c r="H37" s="25"/>
      <c r="I37" s="25"/>
      <c r="J37" s="25"/>
    </row>
    <row r="38" spans="1:10" x14ac:dyDescent="0.25">
      <c r="C38" t="str">
        <f>E3</f>
        <v>150D №246</v>
      </c>
      <c r="D38" s="25">
        <f>E17/C17</f>
        <v>0.12073573196541951</v>
      </c>
      <c r="E38" s="25">
        <v>0.1</v>
      </c>
      <c r="F38" s="29">
        <f t="shared" ref="F38:F40" si="9">D38/E38-1</f>
        <v>0.2073573196541949</v>
      </c>
    </row>
    <row r="39" spans="1:10" x14ac:dyDescent="0.25">
      <c r="C39" t="str">
        <f>F3</f>
        <v>150D суровая</v>
      </c>
      <c r="D39" s="25">
        <f>F17/C17</f>
        <v>0.10184022671019119</v>
      </c>
      <c r="E39" s="25">
        <v>0.10299999999999999</v>
      </c>
      <c r="F39" s="29">
        <f t="shared" si="9"/>
        <v>-1.1259934852512643E-2</v>
      </c>
      <c r="G39" s="25"/>
      <c r="H39" s="25"/>
      <c r="I39" s="25"/>
      <c r="J39" s="25"/>
    </row>
    <row r="40" spans="1:10" x14ac:dyDescent="0.25">
      <c r="C40" t="str">
        <f>G3</f>
        <v>пряжа 25текс</v>
      </c>
      <c r="D40" s="25">
        <f>G17/C17</f>
        <v>0.26135344549270006</v>
      </c>
      <c r="E40" s="25">
        <v>0.24199999999999999</v>
      </c>
      <c r="F40" s="29">
        <f t="shared" si="9"/>
        <v>7.9972915259091115E-2</v>
      </c>
    </row>
  </sheetData>
  <mergeCells count="29">
    <mergeCell ref="A29:B29"/>
    <mergeCell ref="A30:B30"/>
    <mergeCell ref="A31:B31"/>
    <mergeCell ref="A32:B32"/>
    <mergeCell ref="A33:B33"/>
    <mergeCell ref="A27:B27"/>
    <mergeCell ref="A28:B28"/>
    <mergeCell ref="A15:B15"/>
    <mergeCell ref="A16:B16"/>
    <mergeCell ref="A17:B17"/>
    <mergeCell ref="A20:B20"/>
    <mergeCell ref="A21:B21"/>
    <mergeCell ref="A22:B22"/>
    <mergeCell ref="A23:B23"/>
    <mergeCell ref="A24:B24"/>
    <mergeCell ref="A1:E1"/>
    <mergeCell ref="A4:B4"/>
    <mergeCell ref="A8:B8"/>
    <mergeCell ref="A25:B25"/>
    <mergeCell ref="A26:B26"/>
    <mergeCell ref="A5:B5"/>
    <mergeCell ref="A6:B6"/>
    <mergeCell ref="A7:B7"/>
    <mergeCell ref="A9:B9"/>
    <mergeCell ref="A10:B10"/>
    <mergeCell ref="A11:B11"/>
    <mergeCell ref="A12:B12"/>
    <mergeCell ref="A13:B13"/>
    <mergeCell ref="A14:B14"/>
  </mergeCell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workbookViewId="0">
      <selection activeCell="A46" sqref="A46"/>
    </sheetView>
  </sheetViews>
  <sheetFormatPr defaultRowHeight="15" x14ac:dyDescent="0.25"/>
  <cols>
    <col min="1" max="1" width="27.5703125" customWidth="1"/>
    <col min="3" max="3" width="13.7109375" customWidth="1"/>
    <col min="4" max="4" width="16.28515625" customWidth="1"/>
    <col min="5" max="5" width="15.28515625" customWidth="1"/>
    <col min="6" max="6" width="12.28515625" customWidth="1"/>
    <col min="7" max="7" width="15.8554687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102</v>
      </c>
      <c r="B1" s="138"/>
      <c r="C1" s="138"/>
      <c r="D1" s="138"/>
      <c r="E1" s="138"/>
    </row>
    <row r="2" spans="1:10" x14ac:dyDescent="0.25">
      <c r="A2" s="36"/>
      <c r="B2" s="36"/>
      <c r="C2" s="36"/>
      <c r="D2" s="36"/>
      <c r="E2" s="36"/>
    </row>
    <row r="3" spans="1:10" ht="18.75" x14ac:dyDescent="0.3">
      <c r="A3" s="35" t="s">
        <v>146</v>
      </c>
    </row>
    <row r="4" spans="1:10" x14ac:dyDescent="0.25">
      <c r="D4" s="8" t="s">
        <v>103</v>
      </c>
      <c r="E4" s="8" t="s">
        <v>44</v>
      </c>
      <c r="F4" s="8" t="s">
        <v>104</v>
      </c>
      <c r="G4" s="8" t="s">
        <v>42</v>
      </c>
      <c r="H4" s="4"/>
      <c r="I4" s="4"/>
      <c r="J4" s="4"/>
    </row>
    <row r="5" spans="1:10" ht="15" customHeight="1" x14ac:dyDescent="0.25">
      <c r="A5" s="151" t="s">
        <v>105</v>
      </c>
      <c r="B5" s="151"/>
      <c r="C5" s="28">
        <v>151.51</v>
      </c>
      <c r="D5">
        <f t="shared" ref="D5:J17" si="0">$C5/$C$18*D$18</f>
        <v>35.436772301752086</v>
      </c>
      <c r="E5">
        <f t="shared" si="0"/>
        <v>15.044485484282228</v>
      </c>
      <c r="F5">
        <f t="shared" si="0"/>
        <v>15.748143554438496</v>
      </c>
      <c r="G5">
        <f t="shared" si="0"/>
        <v>12.483721997595891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thickBot="1" x14ac:dyDescent="0.3">
      <c r="A6" s="151" t="s">
        <v>106</v>
      </c>
      <c r="B6" s="151"/>
      <c r="C6" s="28">
        <v>397.55</v>
      </c>
      <c r="D6">
        <f t="shared" si="0"/>
        <v>92.983227698247916</v>
      </c>
      <c r="E6">
        <f t="shared" si="0"/>
        <v>39.475514515717784</v>
      </c>
      <c r="F6">
        <f t="shared" si="0"/>
        <v>41.321856445561508</v>
      </c>
      <c r="G6">
        <f t="shared" si="0"/>
        <v>32.756278002404116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hidden="1" customHeight="1" x14ac:dyDescent="0.25">
      <c r="A7" s="149"/>
      <c r="B7" s="149"/>
      <c r="C7" s="27"/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hidden="1" customHeight="1" thickBot="1" x14ac:dyDescent="0.3">
      <c r="A8" s="149"/>
      <c r="B8" s="149"/>
      <c r="C8" s="27"/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.75" hidden="1" thickBot="1" x14ac:dyDescent="0.3">
      <c r="A9" s="148"/>
      <c r="B9" s="148"/>
      <c r="C9" s="26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t="15.75" hidden="1" thickBot="1" x14ac:dyDescent="0.3">
      <c r="A10" s="148"/>
      <c r="B10" s="148"/>
      <c r="C10" s="26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hidden="1" thickBot="1" x14ac:dyDescent="0.3">
      <c r="A11" s="148"/>
      <c r="B11" s="148"/>
      <c r="C11" s="26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thickBot="1" x14ac:dyDescent="0.3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thickBot="1" x14ac:dyDescent="0.3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549.05999999999995</v>
      </c>
      <c r="D18" s="2">
        <v>128.41999999999999</v>
      </c>
      <c r="E18" s="2">
        <v>54.52</v>
      </c>
      <c r="F18" s="2">
        <v>57.07</v>
      </c>
      <c r="G18" s="2">
        <v>45.24</v>
      </c>
      <c r="H18" s="2"/>
      <c r="I18" s="2"/>
      <c r="J18" s="2"/>
    </row>
    <row r="20" spans="1:10" ht="12" customHeight="1" x14ac:dyDescent="0.25">
      <c r="D20" s="8" t="str">
        <f t="shared" ref="D20:F20" si="2">D4</f>
        <v>меланж  (б+ч)</v>
      </c>
      <c r="E20" s="8" t="str">
        <f t="shared" si="2"/>
        <v>300dne</v>
      </c>
      <c r="F20" s="8" t="str">
        <f t="shared" si="2"/>
        <v>150D №149</v>
      </c>
      <c r="G20" s="4" t="str">
        <f>G4</f>
        <v>150D суровая</v>
      </c>
      <c r="H20" s="4">
        <f t="shared" ref="H20:J20" si="3">H4</f>
        <v>0</v>
      </c>
      <c r="I20" s="4">
        <f t="shared" si="3"/>
        <v>0</v>
      </c>
      <c r="J20" s="4">
        <f t="shared" si="3"/>
        <v>0</v>
      </c>
    </row>
    <row r="21" spans="1:10" x14ac:dyDescent="0.25">
      <c r="A21" s="141" t="str">
        <f>A5</f>
        <v xml:space="preserve">Производство 5983 от 13.11.2025 </v>
      </c>
      <c r="B21" s="141"/>
      <c r="C21" s="22">
        <f>C5</f>
        <v>151.51</v>
      </c>
      <c r="D21">
        <f>ROUND(D5,3)</f>
        <v>35.436999999999998</v>
      </c>
      <c r="E21">
        <f t="shared" ref="E21:J33" si="4">ROUND(E5,3)</f>
        <v>15.044</v>
      </c>
      <c r="F21">
        <f t="shared" si="4"/>
        <v>15.747999999999999</v>
      </c>
      <c r="G21">
        <f t="shared" si="4"/>
        <v>12.484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ht="15.75" thickBot="1" x14ac:dyDescent="0.3">
      <c r="A22" s="141" t="str">
        <f t="shared" ref="A22:A33" si="5">A6</f>
        <v xml:space="preserve">Производство 6000 от 14.11.2025 </v>
      </c>
      <c r="B22" s="141"/>
      <c r="C22" s="22">
        <f t="shared" ref="C22:C33" si="6">C6</f>
        <v>397.55</v>
      </c>
      <c r="D22">
        <f t="shared" ref="D22:G33" si="7">ROUND(D6,3)</f>
        <v>92.983000000000004</v>
      </c>
      <c r="E22">
        <f t="shared" si="7"/>
        <v>39.475999999999999</v>
      </c>
      <c r="F22">
        <f t="shared" si="7"/>
        <v>41.322000000000003</v>
      </c>
      <c r="G22">
        <f t="shared" si="7"/>
        <v>32.756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hidden="1" x14ac:dyDescent="0.25">
      <c r="A23" s="141">
        <f t="shared" si="5"/>
        <v>0</v>
      </c>
      <c r="B23" s="141"/>
      <c r="C23" s="22">
        <f t="shared" si="6"/>
        <v>0</v>
      </c>
      <c r="D23">
        <f t="shared" si="7"/>
        <v>0</v>
      </c>
      <c r="E23">
        <f t="shared" si="7"/>
        <v>0</v>
      </c>
      <c r="F23">
        <f t="shared" si="7"/>
        <v>0</v>
      </c>
      <c r="G23">
        <f t="shared" si="7"/>
        <v>0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ht="15.75" hidden="1" thickBot="1" x14ac:dyDescent="0.3">
      <c r="A24" s="141">
        <f t="shared" si="5"/>
        <v>0</v>
      </c>
      <c r="B24" s="141"/>
      <c r="C24" s="22">
        <f t="shared" si="6"/>
        <v>0</v>
      </c>
      <c r="D24">
        <f t="shared" si="7"/>
        <v>0</v>
      </c>
      <c r="E24">
        <f t="shared" si="7"/>
        <v>0</v>
      </c>
      <c r="F24">
        <f t="shared" si="7"/>
        <v>0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ht="15.75" hidden="1" thickBot="1" x14ac:dyDescent="0.3">
      <c r="A25" s="141">
        <f t="shared" si="5"/>
        <v>0</v>
      </c>
      <c r="B25" s="141"/>
      <c r="C25" s="22">
        <f t="shared" si="6"/>
        <v>0</v>
      </c>
      <c r="D25">
        <f t="shared" si="7"/>
        <v>0</v>
      </c>
      <c r="E25">
        <f t="shared" si="7"/>
        <v>0</v>
      </c>
      <c r="F25">
        <f t="shared" si="7"/>
        <v>0</v>
      </c>
      <c r="G25">
        <f t="shared" si="7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t="15.75" hidden="1" thickBot="1" x14ac:dyDescent="0.3">
      <c r="A26" s="141">
        <f t="shared" si="5"/>
        <v>0</v>
      </c>
      <c r="B26" s="141"/>
      <c r="C26" s="22">
        <f t="shared" si="6"/>
        <v>0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t="15.75" hidden="1" thickBot="1" x14ac:dyDescent="0.3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t="15.75" hidden="1" thickBot="1" x14ac:dyDescent="0.3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t="15.75" hidden="1" thickBot="1" x14ac:dyDescent="0.3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t="15.75" hidden="1" thickBot="1" x14ac:dyDescent="0.3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t="15.75" hidden="1" thickBot="1" x14ac:dyDescent="0.3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t="15.75" hidden="1" thickBot="1" x14ac:dyDescent="0.3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549.05999999999995</v>
      </c>
      <c r="D34" s="2">
        <f>SUM(D21:D33)</f>
        <v>128.42000000000002</v>
      </c>
      <c r="E34" s="2">
        <f t="shared" ref="E34:J34" si="8">SUM(E21:E33)</f>
        <v>54.519999999999996</v>
      </c>
      <c r="F34" s="2">
        <f t="shared" si="8"/>
        <v>57.07</v>
      </c>
      <c r="G34" s="2">
        <f t="shared" si="8"/>
        <v>45.24</v>
      </c>
      <c r="H34" s="2">
        <f t="shared" si="8"/>
        <v>0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>меланж  (б+ч)</v>
      </c>
      <c r="D38" s="23">
        <f>D18/C18</f>
        <v>0.23389064947364588</v>
      </c>
      <c r="E38" s="23">
        <v>0.245</v>
      </c>
      <c r="F38" s="29">
        <f>D38/E38-1</f>
        <v>-4.5344287862669863E-2</v>
      </c>
      <c r="G38" s="23"/>
      <c r="H38" s="23"/>
      <c r="I38" s="23"/>
      <c r="J38" s="23"/>
    </row>
    <row r="39" spans="1:10" x14ac:dyDescent="0.25">
      <c r="C39" t="str">
        <f>E4</f>
        <v>300dne</v>
      </c>
      <c r="D39" s="23">
        <f>E18/C18</f>
        <v>9.9296980293592699E-2</v>
      </c>
      <c r="E39" s="23">
        <v>0.09</v>
      </c>
      <c r="F39" s="29">
        <f t="shared" ref="F39:F41" si="9">D39/E39-1</f>
        <v>0.10329978103991899</v>
      </c>
    </row>
    <row r="40" spans="1:10" x14ac:dyDescent="0.25">
      <c r="C40" t="str">
        <f>F4</f>
        <v>150D №149</v>
      </c>
      <c r="D40" s="23">
        <f>F18/C18</f>
        <v>0.10394128146286381</v>
      </c>
      <c r="E40" s="23">
        <v>9.5000000000000001E-2</v>
      </c>
      <c r="F40" s="29">
        <f t="shared" si="9"/>
        <v>9.4118752240671677E-2</v>
      </c>
      <c r="G40" s="23"/>
      <c r="H40" s="23"/>
      <c r="I40" s="23"/>
      <c r="J40" s="23"/>
    </row>
    <row r="41" spans="1:10" x14ac:dyDescent="0.25">
      <c r="C41" t="str">
        <f>G4</f>
        <v>150D суровая</v>
      </c>
      <c r="D41" s="23">
        <f>G18/C18</f>
        <v>8.2395366626598202E-2</v>
      </c>
      <c r="E41" s="23">
        <v>8.7999999999999995E-2</v>
      </c>
      <c r="F41" s="29">
        <f t="shared" si="9"/>
        <v>-6.3689015606838595E-2</v>
      </c>
    </row>
  </sheetData>
  <mergeCells count="29">
    <mergeCell ref="A1:E1"/>
    <mergeCell ref="A7:B7"/>
    <mergeCell ref="A8:B8"/>
    <mergeCell ref="A9:B9"/>
    <mergeCell ref="A27:B27"/>
    <mergeCell ref="A5:B5"/>
    <mergeCell ref="A6:B6"/>
    <mergeCell ref="A10:B10"/>
    <mergeCell ref="A11:B11"/>
    <mergeCell ref="A12:B12"/>
    <mergeCell ref="A13:B13"/>
    <mergeCell ref="A14:B14"/>
    <mergeCell ref="A15:B15"/>
    <mergeCell ref="A28:B28"/>
    <mergeCell ref="A29:B29"/>
    <mergeCell ref="A16:B16"/>
    <mergeCell ref="A17:B17"/>
    <mergeCell ref="A18:B18"/>
    <mergeCell ref="A21:B21"/>
    <mergeCell ref="A22:B22"/>
    <mergeCell ref="A23:B23"/>
    <mergeCell ref="A24:B24"/>
    <mergeCell ref="A25:B25"/>
    <mergeCell ref="A26:B26"/>
    <mergeCell ref="A30:B30"/>
    <mergeCell ref="A31:B31"/>
    <mergeCell ref="A32:B32"/>
    <mergeCell ref="A33:B33"/>
    <mergeCell ref="A34:B34"/>
  </mergeCells>
  <pageMargins left="0.70866141732283472" right="0.70866141732283472" top="0.74803149606299213" bottom="0.74803149606299213" header="0.31496062992125984" footer="0.31496062992125984"/>
  <pageSetup paperSize="9" scale="7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9"/>
  <sheetViews>
    <sheetView topLeftCell="A55" workbookViewId="0">
      <selection activeCell="P103" sqref="P103"/>
    </sheetView>
  </sheetViews>
  <sheetFormatPr defaultRowHeight="15" x14ac:dyDescent="0.25"/>
  <cols>
    <col min="1" max="1" width="27.5703125" customWidth="1"/>
    <col min="3" max="3" width="13.7109375" customWidth="1"/>
    <col min="4" max="4" width="16.28515625" customWidth="1"/>
    <col min="5" max="5" width="15.28515625" customWidth="1"/>
    <col min="6" max="6" width="12.28515625" customWidth="1"/>
    <col min="7" max="7" width="15.85546875" hidden="1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147</v>
      </c>
      <c r="B1" s="138"/>
      <c r="C1" s="138"/>
      <c r="D1" s="138"/>
      <c r="E1" s="138"/>
    </row>
    <row r="2" spans="1:10" x14ac:dyDescent="0.25">
      <c r="A2" s="37" t="s">
        <v>148</v>
      </c>
      <c r="B2" s="40"/>
      <c r="C2" s="40"/>
      <c r="D2" s="40"/>
      <c r="E2" s="40"/>
    </row>
    <row r="4" spans="1:10" ht="45" x14ac:dyDescent="0.25">
      <c r="D4" s="38" t="s">
        <v>44</v>
      </c>
      <c r="E4" s="38" t="s">
        <v>143</v>
      </c>
      <c r="F4" s="38" t="s">
        <v>149</v>
      </c>
      <c r="G4" s="8"/>
      <c r="H4" s="4"/>
      <c r="I4" s="4"/>
      <c r="J4" s="4"/>
    </row>
    <row r="5" spans="1:10" ht="15" customHeight="1" x14ac:dyDescent="0.25">
      <c r="A5" s="153" t="s">
        <v>150</v>
      </c>
      <c r="B5" s="153"/>
      <c r="C5" s="44">
        <v>434.94</v>
      </c>
      <c r="D5">
        <f t="shared" ref="D5:J5" si="0">$C5/$C$52*D$52</f>
        <v>72.281865558378158</v>
      </c>
      <c r="E5">
        <f t="shared" si="0"/>
        <v>64.939636348312732</v>
      </c>
      <c r="F5">
        <f t="shared" si="0"/>
        <v>89.276753534083966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53" t="s">
        <v>151</v>
      </c>
      <c r="B6" s="153"/>
      <c r="C6" s="44">
        <v>574.04999999999995</v>
      </c>
      <c r="D6">
        <f t="shared" ref="D6:F37" si="1">$C6/$C$52*D$52</f>
        <v>95.400296417406949</v>
      </c>
      <c r="E6">
        <f t="shared" si="1"/>
        <v>85.709749036071472</v>
      </c>
      <c r="F6">
        <f t="shared" si="1"/>
        <v>117.83078209923414</v>
      </c>
    </row>
    <row r="7" spans="1:10" ht="15" customHeight="1" x14ac:dyDescent="0.25">
      <c r="A7" s="153" t="s">
        <v>152</v>
      </c>
      <c r="B7" s="153"/>
      <c r="C7" s="44">
        <v>407.28</v>
      </c>
      <c r="D7">
        <f t="shared" si="1"/>
        <v>67.685101863742716</v>
      </c>
      <c r="E7">
        <f t="shared" si="1"/>
        <v>60.809801563297952</v>
      </c>
      <c r="F7">
        <f t="shared" si="1"/>
        <v>83.599200302022624</v>
      </c>
    </row>
    <row r="8" spans="1:10" ht="15" customHeight="1" x14ac:dyDescent="0.25">
      <c r="A8" s="153" t="s">
        <v>153</v>
      </c>
      <c r="B8" s="153"/>
      <c r="C8" s="44">
        <v>409.79</v>
      </c>
      <c r="D8">
        <f t="shared" si="1"/>
        <v>68.102234071751951</v>
      </c>
      <c r="E8">
        <f t="shared" si="1"/>
        <v>61.184562420506467</v>
      </c>
      <c r="F8">
        <f t="shared" si="1"/>
        <v>84.114408494809112</v>
      </c>
    </row>
    <row r="9" spans="1:10" ht="15" customHeight="1" x14ac:dyDescent="0.25">
      <c r="A9" s="153" t="s">
        <v>154</v>
      </c>
      <c r="B9" s="153"/>
      <c r="C9" s="44">
        <v>404.68</v>
      </c>
      <c r="D9">
        <f t="shared" si="1"/>
        <v>67.253012723972219</v>
      </c>
      <c r="E9">
        <f t="shared" si="1"/>
        <v>60.421603065791146</v>
      </c>
      <c r="F9">
        <f t="shared" si="1"/>
        <v>83.065518508697977</v>
      </c>
    </row>
    <row r="10" spans="1:10" ht="15" customHeight="1" x14ac:dyDescent="0.25">
      <c r="A10" s="153" t="s">
        <v>155</v>
      </c>
      <c r="B10" s="153"/>
      <c r="C10" s="44">
        <v>571.23</v>
      </c>
      <c r="D10">
        <f t="shared" si="1"/>
        <v>94.931645888886649</v>
      </c>
      <c r="E10">
        <f t="shared" si="1"/>
        <v>85.288702973391011</v>
      </c>
      <c r="F10">
        <f t="shared" si="1"/>
        <v>117.25194261570512</v>
      </c>
    </row>
    <row r="11" spans="1:10" ht="15" customHeight="1" x14ac:dyDescent="0.25">
      <c r="A11" s="153" t="s">
        <v>156</v>
      </c>
      <c r="B11" s="153"/>
      <c r="C11" s="44">
        <v>816.01</v>
      </c>
      <c r="D11">
        <f t="shared" si="1"/>
        <v>135.61117651697285</v>
      </c>
      <c r="E11">
        <f t="shared" si="1"/>
        <v>121.83609844251319</v>
      </c>
      <c r="F11">
        <f t="shared" si="1"/>
        <v>167.49603083493784</v>
      </c>
    </row>
    <row r="12" spans="1:10" ht="15" customHeight="1" x14ac:dyDescent="0.25">
      <c r="A12" s="153" t="s">
        <v>157</v>
      </c>
      <c r="B12" s="153"/>
      <c r="C12" s="44">
        <v>910.64</v>
      </c>
      <c r="D12">
        <f t="shared" si="1"/>
        <v>151.33755932331238</v>
      </c>
      <c r="E12">
        <f t="shared" si="1"/>
        <v>135.96503068061691</v>
      </c>
      <c r="F12">
        <f t="shared" si="1"/>
        <v>186.91999548967266</v>
      </c>
    </row>
    <row r="13" spans="1:10" ht="15" customHeight="1" x14ac:dyDescent="0.25">
      <c r="A13" s="153" t="s">
        <v>158</v>
      </c>
      <c r="B13" s="153"/>
      <c r="C13" s="44">
        <v>321.93</v>
      </c>
      <c r="D13">
        <f t="shared" si="1"/>
        <v>53.500944910122506</v>
      </c>
      <c r="E13">
        <f t="shared" si="1"/>
        <v>48.066439347064701</v>
      </c>
      <c r="F13">
        <f t="shared" si="1"/>
        <v>66.08006912500035</v>
      </c>
    </row>
    <row r="14" spans="1:10" ht="15" customHeight="1" x14ac:dyDescent="0.25">
      <c r="A14" s="153" t="s">
        <v>159</v>
      </c>
      <c r="B14" s="153"/>
      <c r="C14" s="44">
        <v>491.64</v>
      </c>
      <c r="D14">
        <f t="shared" si="1"/>
        <v>81.704732567988785</v>
      </c>
      <c r="E14">
        <f t="shared" si="1"/>
        <v>73.405349736249775</v>
      </c>
      <c r="F14">
        <f t="shared" si="1"/>
        <v>100.91512187312513</v>
      </c>
    </row>
    <row r="15" spans="1:10" ht="15" customHeight="1" x14ac:dyDescent="0.25">
      <c r="A15" s="153" t="s">
        <v>160</v>
      </c>
      <c r="B15" s="153"/>
      <c r="C15" s="44">
        <v>272.54000000000002</v>
      </c>
      <c r="D15">
        <f t="shared" si="1"/>
        <v>45.292913135789739</v>
      </c>
      <c r="E15">
        <f t="shared" si="1"/>
        <v>40.692160965579525</v>
      </c>
      <c r="F15">
        <f t="shared" si="1"/>
        <v>55.942167674114245</v>
      </c>
    </row>
    <row r="16" spans="1:10" ht="15" customHeight="1" x14ac:dyDescent="0.25">
      <c r="A16" s="153" t="s">
        <v>161</v>
      </c>
      <c r="B16" s="153"/>
      <c r="C16" s="44">
        <v>226.77</v>
      </c>
      <c r="D16">
        <f t="shared" si="1"/>
        <v>37.686482394522045</v>
      </c>
      <c r="E16">
        <f t="shared" si="1"/>
        <v>33.858374338315357</v>
      </c>
      <c r="F16">
        <f t="shared" si="1"/>
        <v>46.547315489318585</v>
      </c>
    </row>
    <row r="17" spans="1:6" ht="15" customHeight="1" x14ac:dyDescent="0.25">
      <c r="A17" s="153" t="s">
        <v>162</v>
      </c>
      <c r="B17" s="153"/>
      <c r="C17" s="44">
        <v>830.32</v>
      </c>
      <c r="D17">
        <f t="shared" si="1"/>
        <v>137.98932866701742</v>
      </c>
      <c r="E17">
        <f t="shared" si="1"/>
        <v>123.97268324994491</v>
      </c>
      <c r="F17">
        <f t="shared" si="1"/>
        <v>170.43333332050537</v>
      </c>
    </row>
    <row r="18" spans="1:6" ht="15" customHeight="1" x14ac:dyDescent="0.25">
      <c r="A18" s="153" t="s">
        <v>163</v>
      </c>
      <c r="B18" s="153"/>
      <c r="C18" s="44">
        <v>576.95000000000005</v>
      </c>
      <c r="D18">
        <f t="shared" si="1"/>
        <v>95.882241996381765</v>
      </c>
      <c r="E18">
        <f t="shared" si="1"/>
        <v>86.142739667906014</v>
      </c>
      <c r="F18">
        <f t="shared" si="1"/>
        <v>118.42604256101934</v>
      </c>
    </row>
    <row r="19" spans="1:6" ht="15" customHeight="1" x14ac:dyDescent="0.25">
      <c r="A19" s="153" t="s">
        <v>164</v>
      </c>
      <c r="B19" s="153"/>
      <c r="C19" s="45">
        <v>1168.56</v>
      </c>
      <c r="D19">
        <f t="shared" si="1"/>
        <v>194.20080198854643</v>
      </c>
      <c r="E19">
        <f t="shared" si="1"/>
        <v>174.47432163329273</v>
      </c>
      <c r="F19">
        <f t="shared" si="1"/>
        <v>239.86122938747681</v>
      </c>
    </row>
    <row r="20" spans="1:6" ht="15" customHeight="1" x14ac:dyDescent="0.25">
      <c r="A20" s="153" t="s">
        <v>165</v>
      </c>
      <c r="B20" s="153"/>
      <c r="C20" s="45">
        <v>1819.15</v>
      </c>
      <c r="D20">
        <f t="shared" si="1"/>
        <v>302.32113792827437</v>
      </c>
      <c r="E20">
        <f t="shared" si="1"/>
        <v>271.61203720750711</v>
      </c>
      <c r="F20">
        <f t="shared" si="1"/>
        <v>373.40278243327555</v>
      </c>
    </row>
    <row r="21" spans="1:6" ht="15" customHeight="1" x14ac:dyDescent="0.25">
      <c r="A21" s="153" t="s">
        <v>166</v>
      </c>
      <c r="B21" s="153"/>
      <c r="C21" s="45">
        <v>1988.11</v>
      </c>
      <c r="D21">
        <f t="shared" si="1"/>
        <v>330.4002844881299</v>
      </c>
      <c r="E21">
        <f t="shared" si="1"/>
        <v>296.83896726087289</v>
      </c>
      <c r="F21">
        <f t="shared" si="1"/>
        <v>408.08388851024893</v>
      </c>
    </row>
    <row r="22" spans="1:6" ht="15" customHeight="1" x14ac:dyDescent="0.25">
      <c r="A22" s="153" t="s">
        <v>167</v>
      </c>
      <c r="B22" s="153"/>
      <c r="C22" s="45">
        <v>1814.16</v>
      </c>
      <c r="D22">
        <f t="shared" si="1"/>
        <v>301.49185915617636</v>
      </c>
      <c r="E22">
        <f t="shared" si="1"/>
        <v>270.86699470652286</v>
      </c>
      <c r="F22">
        <f t="shared" si="1"/>
        <v>372.37852391454868</v>
      </c>
    </row>
    <row r="23" spans="1:6" ht="15" customHeight="1" x14ac:dyDescent="0.25">
      <c r="A23" s="153" t="s">
        <v>168</v>
      </c>
      <c r="B23" s="153"/>
      <c r="C23" s="45">
        <v>1740.49</v>
      </c>
      <c r="D23">
        <f t="shared" si="1"/>
        <v>289.24877956890975</v>
      </c>
      <c r="E23">
        <f t="shared" si="1"/>
        <v>259.86753958678173</v>
      </c>
      <c r="F23">
        <f t="shared" si="1"/>
        <v>357.25685556292314</v>
      </c>
    </row>
    <row r="24" spans="1:6" ht="15" customHeight="1" x14ac:dyDescent="0.25">
      <c r="A24" s="153" t="s">
        <v>169</v>
      </c>
      <c r="B24" s="153"/>
      <c r="C24" s="44">
        <v>664.94</v>
      </c>
      <c r="D24">
        <f t="shared" si="1"/>
        <v>110.50513561499972</v>
      </c>
      <c r="E24">
        <f t="shared" si="1"/>
        <v>99.280272666223098</v>
      </c>
      <c r="F24">
        <f t="shared" si="1"/>
        <v>136.48706602049432</v>
      </c>
    </row>
    <row r="25" spans="1:6" ht="15" customHeight="1" x14ac:dyDescent="0.25">
      <c r="A25" s="153" t="s">
        <v>170</v>
      </c>
      <c r="B25" s="153"/>
      <c r="C25" s="45">
        <v>1161.5999999999999</v>
      </c>
      <c r="D25">
        <f t="shared" si="1"/>
        <v>193.04413259900693</v>
      </c>
      <c r="E25">
        <f t="shared" si="1"/>
        <v>173.43514411688986</v>
      </c>
      <c r="F25">
        <f t="shared" si="1"/>
        <v>238.43260427919236</v>
      </c>
    </row>
    <row r="26" spans="1:6" ht="15" customHeight="1" x14ac:dyDescent="0.25">
      <c r="A26" s="153" t="s">
        <v>171</v>
      </c>
      <c r="B26" s="153"/>
      <c r="C26" s="45">
        <v>1710.16</v>
      </c>
      <c r="D26">
        <f t="shared" si="1"/>
        <v>284.20829356535614</v>
      </c>
      <c r="E26">
        <f t="shared" si="1"/>
        <v>255.33905480625035</v>
      </c>
      <c r="F26">
        <f t="shared" si="1"/>
        <v>351.0312521815631</v>
      </c>
    </row>
    <row r="27" spans="1:6" ht="15" customHeight="1" x14ac:dyDescent="0.25">
      <c r="A27" s="153" t="s">
        <v>172</v>
      </c>
      <c r="B27" s="153"/>
      <c r="C27" s="45">
        <v>1866.46</v>
      </c>
      <c r="D27">
        <f t="shared" si="1"/>
        <v>310.1834983907907</v>
      </c>
      <c r="E27">
        <f t="shared" si="1"/>
        <v>278.67575679098678</v>
      </c>
      <c r="F27">
        <f t="shared" si="1"/>
        <v>383.11373844950191</v>
      </c>
    </row>
    <row r="28" spans="1:6" ht="15" customHeight="1" x14ac:dyDescent="0.25">
      <c r="A28" s="153" t="s">
        <v>173</v>
      </c>
      <c r="B28" s="153"/>
      <c r="C28" s="45">
        <v>1927.31</v>
      </c>
      <c r="D28">
        <f t="shared" si="1"/>
        <v>320.29604614272733</v>
      </c>
      <c r="E28">
        <f t="shared" si="1"/>
        <v>287.76109470379049</v>
      </c>
      <c r="F28">
        <f t="shared" si="1"/>
        <v>395.60394503558047</v>
      </c>
    </row>
    <row r="29" spans="1:6" ht="15" customHeight="1" x14ac:dyDescent="0.25">
      <c r="A29" s="153" t="s">
        <v>174</v>
      </c>
      <c r="B29" s="153"/>
      <c r="C29" s="45">
        <v>1525.44</v>
      </c>
      <c r="D29">
        <f t="shared" si="1"/>
        <v>253.51002206596863</v>
      </c>
      <c r="E29">
        <f t="shared" si="1"/>
        <v>227.75904462953557</v>
      </c>
      <c r="F29">
        <f t="shared" si="1"/>
        <v>313.11521338812952</v>
      </c>
    </row>
    <row r="30" spans="1:6" ht="15" customHeight="1" x14ac:dyDescent="0.25">
      <c r="A30" s="153" t="s">
        <v>175</v>
      </c>
      <c r="B30" s="153"/>
      <c r="C30" s="44">
        <v>476.87</v>
      </c>
      <c r="D30">
        <f t="shared" si="1"/>
        <v>79.250133877830947</v>
      </c>
      <c r="E30">
        <f t="shared" si="1"/>
        <v>71.200083656182215</v>
      </c>
      <c r="F30">
        <f t="shared" si="1"/>
        <v>97.883398762584775</v>
      </c>
    </row>
    <row r="31" spans="1:6" ht="15" customHeight="1" x14ac:dyDescent="0.25">
      <c r="A31" s="153" t="s">
        <v>176</v>
      </c>
      <c r="B31" s="153"/>
      <c r="C31" s="44">
        <v>397.05</v>
      </c>
      <c r="D31">
        <f t="shared" si="1"/>
        <v>65.984997286876464</v>
      </c>
      <c r="E31">
        <f t="shared" si="1"/>
        <v>59.282389782723072</v>
      </c>
      <c r="F31">
        <f t="shared" si="1"/>
        <v>81.499367707518374</v>
      </c>
    </row>
    <row r="32" spans="1:6" ht="15" customHeight="1" x14ac:dyDescent="0.25">
      <c r="A32" s="153" t="s">
        <v>177</v>
      </c>
      <c r="B32" s="153"/>
      <c r="C32" s="44">
        <v>236.44</v>
      </c>
      <c r="D32">
        <f t="shared" si="1"/>
        <v>39.293521618206952</v>
      </c>
      <c r="E32">
        <f t="shared" si="1"/>
        <v>35.302174134811843</v>
      </c>
      <c r="F32">
        <f t="shared" si="1"/>
        <v>48.532201236029827</v>
      </c>
    </row>
    <row r="33" spans="1:10" ht="15" customHeight="1" thickBot="1" x14ac:dyDescent="0.3">
      <c r="A33" s="153" t="s">
        <v>178</v>
      </c>
      <c r="B33" s="153"/>
      <c r="C33" s="44">
        <v>239.3</v>
      </c>
      <c r="D33">
        <f t="shared" si="1"/>
        <v>39.768819671954518</v>
      </c>
      <c r="E33">
        <f t="shared" si="1"/>
        <v>35.729192482069344</v>
      </c>
      <c r="F33">
        <f t="shared" si="1"/>
        <v>49.119251208686933</v>
      </c>
    </row>
    <row r="34" spans="1:10" ht="15" hidden="1" customHeight="1" x14ac:dyDescent="0.25">
      <c r="A34" s="41"/>
      <c r="B34" s="41"/>
      <c r="C34" s="42"/>
      <c r="D34">
        <f t="shared" si="1"/>
        <v>0</v>
      </c>
      <c r="E34">
        <f t="shared" si="1"/>
        <v>0</v>
      </c>
      <c r="F34">
        <f t="shared" si="1"/>
        <v>0</v>
      </c>
    </row>
    <row r="35" spans="1:10" ht="15" hidden="1" customHeight="1" x14ac:dyDescent="0.25">
      <c r="A35" s="41"/>
      <c r="B35" s="41"/>
      <c r="C35" s="42"/>
      <c r="D35">
        <f t="shared" si="1"/>
        <v>0</v>
      </c>
      <c r="E35">
        <f t="shared" si="1"/>
        <v>0</v>
      </c>
      <c r="F35">
        <f t="shared" si="1"/>
        <v>0</v>
      </c>
    </row>
    <row r="36" spans="1:10" ht="15" hidden="1" customHeight="1" x14ac:dyDescent="0.25">
      <c r="A36" s="41"/>
      <c r="B36" s="41"/>
      <c r="C36" s="42"/>
      <c r="D36">
        <f t="shared" si="1"/>
        <v>0</v>
      </c>
      <c r="E36">
        <f t="shared" si="1"/>
        <v>0</v>
      </c>
      <c r="F36">
        <f t="shared" si="1"/>
        <v>0</v>
      </c>
    </row>
    <row r="37" spans="1:10" ht="15" hidden="1" customHeight="1" x14ac:dyDescent="0.25">
      <c r="A37" s="41"/>
      <c r="B37" s="41"/>
      <c r="C37" s="42"/>
      <c r="D37">
        <f t="shared" si="1"/>
        <v>0</v>
      </c>
      <c r="E37">
        <f t="shared" si="1"/>
        <v>0</v>
      </c>
      <c r="F37">
        <f t="shared" si="1"/>
        <v>0</v>
      </c>
    </row>
    <row r="38" spans="1:10" ht="15" hidden="1" customHeight="1" x14ac:dyDescent="0.25">
      <c r="A38" s="41"/>
      <c r="B38" s="41"/>
      <c r="C38" s="42"/>
      <c r="D38">
        <f t="shared" ref="D38:F39" si="2">$C38/$C$52*D$52</f>
        <v>0</v>
      </c>
      <c r="E38">
        <f t="shared" si="2"/>
        <v>0</v>
      </c>
      <c r="F38">
        <f t="shared" si="2"/>
        <v>0</v>
      </c>
    </row>
    <row r="39" spans="1:10" ht="15" hidden="1" customHeight="1" x14ac:dyDescent="0.25">
      <c r="A39" s="41"/>
      <c r="B39" s="41"/>
      <c r="C39" s="42"/>
      <c r="D39">
        <f t="shared" si="2"/>
        <v>0</v>
      </c>
      <c r="E39">
        <f t="shared" si="2"/>
        <v>0</v>
      </c>
      <c r="F39">
        <f t="shared" si="2"/>
        <v>0</v>
      </c>
    </row>
    <row r="40" spans="1:10" ht="15" hidden="1" customHeight="1" x14ac:dyDescent="0.25">
      <c r="A40" s="152"/>
      <c r="B40" s="152"/>
      <c r="C40" s="42"/>
      <c r="D40">
        <f t="shared" ref="D40:J46" si="3">$C40/$C$52*D$52</f>
        <v>0</v>
      </c>
      <c r="E40">
        <f t="shared" si="3"/>
        <v>0</v>
      </c>
      <c r="F40">
        <f t="shared" si="3"/>
        <v>0</v>
      </c>
      <c r="G40">
        <f t="shared" si="3"/>
        <v>0</v>
      </c>
      <c r="H40">
        <f t="shared" si="3"/>
        <v>0</v>
      </c>
      <c r="I40">
        <f t="shared" si="3"/>
        <v>0</v>
      </c>
      <c r="J40">
        <f t="shared" si="3"/>
        <v>0</v>
      </c>
    </row>
    <row r="41" spans="1:10" ht="15" hidden="1" customHeight="1" x14ac:dyDescent="0.25">
      <c r="A41" s="152"/>
      <c r="B41" s="152"/>
      <c r="C41" s="42"/>
      <c r="D41">
        <f t="shared" si="3"/>
        <v>0</v>
      </c>
      <c r="E41">
        <f t="shared" si="3"/>
        <v>0</v>
      </c>
      <c r="F41">
        <f t="shared" si="3"/>
        <v>0</v>
      </c>
      <c r="G41">
        <f t="shared" si="3"/>
        <v>0</v>
      </c>
      <c r="H41">
        <f t="shared" si="3"/>
        <v>0</v>
      </c>
      <c r="I41">
        <f t="shared" si="3"/>
        <v>0</v>
      </c>
      <c r="J41">
        <f t="shared" si="3"/>
        <v>0</v>
      </c>
    </row>
    <row r="42" spans="1:10" ht="15" hidden="1" customHeight="1" x14ac:dyDescent="0.25">
      <c r="A42" s="152"/>
      <c r="B42" s="152"/>
      <c r="C42" s="42"/>
      <c r="D42">
        <f t="shared" si="3"/>
        <v>0</v>
      </c>
      <c r="E42">
        <f t="shared" si="3"/>
        <v>0</v>
      </c>
      <c r="F42">
        <f t="shared" si="3"/>
        <v>0</v>
      </c>
      <c r="G42">
        <f t="shared" si="3"/>
        <v>0</v>
      </c>
      <c r="H42">
        <f t="shared" si="3"/>
        <v>0</v>
      </c>
      <c r="I42">
        <f t="shared" si="3"/>
        <v>0</v>
      </c>
      <c r="J42">
        <f t="shared" si="3"/>
        <v>0</v>
      </c>
    </row>
    <row r="43" spans="1:10" hidden="1" x14ac:dyDescent="0.25">
      <c r="A43" s="148"/>
      <c r="B43" s="148"/>
      <c r="C43" s="26"/>
      <c r="D43">
        <f t="shared" si="3"/>
        <v>0</v>
      </c>
      <c r="E43">
        <f t="shared" si="3"/>
        <v>0</v>
      </c>
      <c r="F43">
        <f t="shared" si="3"/>
        <v>0</v>
      </c>
      <c r="G43">
        <f t="shared" si="3"/>
        <v>0</v>
      </c>
      <c r="H43">
        <f t="shared" si="3"/>
        <v>0</v>
      </c>
      <c r="I43">
        <f t="shared" si="3"/>
        <v>0</v>
      </c>
      <c r="J43">
        <f t="shared" si="3"/>
        <v>0</v>
      </c>
    </row>
    <row r="44" spans="1:10" hidden="1" x14ac:dyDescent="0.25">
      <c r="A44" s="148"/>
      <c r="B44" s="148"/>
      <c r="C44" s="26"/>
      <c r="D44">
        <f t="shared" si="3"/>
        <v>0</v>
      </c>
      <c r="E44">
        <f t="shared" si="3"/>
        <v>0</v>
      </c>
      <c r="F44">
        <f t="shared" si="3"/>
        <v>0</v>
      </c>
      <c r="G44">
        <f t="shared" si="3"/>
        <v>0</v>
      </c>
      <c r="H44">
        <f t="shared" si="3"/>
        <v>0</v>
      </c>
      <c r="I44">
        <f t="shared" si="3"/>
        <v>0</v>
      </c>
      <c r="J44">
        <f t="shared" si="3"/>
        <v>0</v>
      </c>
    </row>
    <row r="45" spans="1:10" hidden="1" x14ac:dyDescent="0.25">
      <c r="A45" s="148"/>
      <c r="B45" s="148"/>
      <c r="C45" s="26"/>
      <c r="D45">
        <f t="shared" si="3"/>
        <v>0</v>
      </c>
      <c r="E45">
        <f t="shared" si="3"/>
        <v>0</v>
      </c>
      <c r="F45">
        <f t="shared" si="3"/>
        <v>0</v>
      </c>
      <c r="G45">
        <f t="shared" si="3"/>
        <v>0</v>
      </c>
      <c r="H45">
        <f t="shared" si="3"/>
        <v>0</v>
      </c>
      <c r="I45">
        <f t="shared" si="3"/>
        <v>0</v>
      </c>
      <c r="J45">
        <f t="shared" si="3"/>
        <v>0</v>
      </c>
    </row>
    <row r="46" spans="1:10" ht="15" hidden="1" customHeight="1" x14ac:dyDescent="0.25">
      <c r="A46" s="148"/>
      <c r="B46" s="148"/>
      <c r="C46" s="26"/>
      <c r="D46">
        <f t="shared" si="3"/>
        <v>0</v>
      </c>
      <c r="E46">
        <f t="shared" si="3"/>
        <v>0</v>
      </c>
      <c r="F46">
        <f t="shared" si="3"/>
        <v>0</v>
      </c>
      <c r="G46">
        <f t="shared" si="3"/>
        <v>0</v>
      </c>
      <c r="H46">
        <f t="shared" si="3"/>
        <v>0</v>
      </c>
      <c r="I46">
        <f t="shared" si="3"/>
        <v>0</v>
      </c>
      <c r="J46">
        <f t="shared" si="3"/>
        <v>0</v>
      </c>
    </row>
    <row r="47" spans="1:10" ht="15" hidden="1" customHeight="1" x14ac:dyDescent="0.25">
      <c r="A47" s="146"/>
      <c r="B47" s="146"/>
      <c r="C47" s="24"/>
      <c r="D47">
        <f t="shared" ref="D47:E51" si="4">$C47/$C$52*D$52</f>
        <v>0</v>
      </c>
      <c r="E47">
        <f t="shared" si="4"/>
        <v>0</v>
      </c>
      <c r="F47">
        <f t="shared" ref="F47:J51" si="5">$C47/$C$52*F$52</f>
        <v>0</v>
      </c>
      <c r="G47">
        <f t="shared" si="5"/>
        <v>0</v>
      </c>
      <c r="H47">
        <f t="shared" si="5"/>
        <v>0</v>
      </c>
      <c r="I47">
        <f t="shared" si="5"/>
        <v>0</v>
      </c>
      <c r="J47">
        <f t="shared" si="5"/>
        <v>0</v>
      </c>
    </row>
    <row r="48" spans="1:10" ht="15" hidden="1" customHeight="1" x14ac:dyDescent="0.25">
      <c r="A48" s="146"/>
      <c r="B48" s="146"/>
      <c r="C48" s="24"/>
      <c r="D48">
        <f t="shared" si="4"/>
        <v>0</v>
      </c>
      <c r="E48">
        <f t="shared" si="4"/>
        <v>0</v>
      </c>
      <c r="F48">
        <f t="shared" si="5"/>
        <v>0</v>
      </c>
      <c r="G48">
        <f t="shared" si="5"/>
        <v>0</v>
      </c>
      <c r="H48">
        <f t="shared" si="5"/>
        <v>0</v>
      </c>
      <c r="I48">
        <f t="shared" si="5"/>
        <v>0</v>
      </c>
      <c r="J48">
        <f t="shared" si="5"/>
        <v>0</v>
      </c>
    </row>
    <row r="49" spans="1:10" ht="15" hidden="1" customHeight="1" x14ac:dyDescent="0.25">
      <c r="A49" s="146"/>
      <c r="B49" s="146"/>
      <c r="C49" s="24"/>
      <c r="D49">
        <f t="shared" si="4"/>
        <v>0</v>
      </c>
      <c r="E49">
        <f t="shared" si="4"/>
        <v>0</v>
      </c>
      <c r="F49">
        <f t="shared" si="5"/>
        <v>0</v>
      </c>
      <c r="G49">
        <f t="shared" si="5"/>
        <v>0</v>
      </c>
      <c r="H49">
        <f t="shared" si="5"/>
        <v>0</v>
      </c>
      <c r="I49">
        <f t="shared" si="5"/>
        <v>0</v>
      </c>
      <c r="J49">
        <f t="shared" si="5"/>
        <v>0</v>
      </c>
    </row>
    <row r="50" spans="1:10" ht="15" hidden="1" customHeight="1" x14ac:dyDescent="0.25">
      <c r="A50" s="146"/>
      <c r="B50" s="146"/>
      <c r="C50" s="24"/>
      <c r="D50">
        <f t="shared" si="4"/>
        <v>0</v>
      </c>
      <c r="E50">
        <f t="shared" si="4"/>
        <v>0</v>
      </c>
      <c r="F50">
        <f t="shared" si="5"/>
        <v>0</v>
      </c>
      <c r="G50">
        <f t="shared" si="5"/>
        <v>0</v>
      </c>
      <c r="H50">
        <f t="shared" si="5"/>
        <v>0</v>
      </c>
      <c r="I50">
        <f t="shared" si="5"/>
        <v>0</v>
      </c>
      <c r="J50">
        <f t="shared" si="5"/>
        <v>0</v>
      </c>
    </row>
    <row r="51" spans="1:10" ht="15.75" hidden="1" customHeight="1" thickBot="1" x14ac:dyDescent="0.3">
      <c r="A51" s="141"/>
      <c r="B51" s="141"/>
      <c r="C51" s="11"/>
      <c r="D51">
        <f t="shared" si="4"/>
        <v>0</v>
      </c>
      <c r="E51">
        <f t="shared" si="4"/>
        <v>0</v>
      </c>
      <c r="F51">
        <f t="shared" si="5"/>
        <v>0</v>
      </c>
      <c r="G51">
        <f t="shared" si="5"/>
        <v>0</v>
      </c>
      <c r="H51">
        <f t="shared" si="5"/>
        <v>0</v>
      </c>
      <c r="I51">
        <f t="shared" si="5"/>
        <v>0</v>
      </c>
      <c r="J51">
        <f t="shared" si="5"/>
        <v>0</v>
      </c>
    </row>
    <row r="52" spans="1:10" x14ac:dyDescent="0.25">
      <c r="A52" s="137" t="s">
        <v>6</v>
      </c>
      <c r="B52" s="137"/>
      <c r="C52" s="12">
        <f>SUM(C5:C51)</f>
        <v>25984.809999999994</v>
      </c>
      <c r="D52" s="2">
        <v>4318.3670000000002</v>
      </c>
      <c r="E52" s="2">
        <v>3879.7170000000001</v>
      </c>
      <c r="F52" s="2">
        <v>5333.7</v>
      </c>
      <c r="G52" s="2"/>
      <c r="H52" s="2"/>
      <c r="I52" s="2"/>
      <c r="J52" s="2"/>
    </row>
    <row r="54" spans="1:10" ht="24.75" customHeight="1" x14ac:dyDescent="0.25">
      <c r="D54" s="8" t="str">
        <f t="shared" ref="D54:J54" si="6">D4</f>
        <v>300dne</v>
      </c>
      <c r="E54" s="8" t="str">
        <f t="shared" si="6"/>
        <v>150dne суровая</v>
      </c>
      <c r="F54" s="46" t="str">
        <f t="shared" si="6"/>
        <v>150dne суровая Турция</v>
      </c>
      <c r="G54" s="4">
        <f t="shared" si="6"/>
        <v>0</v>
      </c>
      <c r="H54" s="4">
        <f t="shared" si="6"/>
        <v>0</v>
      </c>
      <c r="I54" s="4">
        <f t="shared" si="6"/>
        <v>0</v>
      </c>
      <c r="J54" s="4">
        <f t="shared" si="6"/>
        <v>0</v>
      </c>
    </row>
    <row r="55" spans="1:10" x14ac:dyDescent="0.25">
      <c r="A55" s="141" t="str">
        <f t="shared" ref="A55:A80" si="7">A5</f>
        <v xml:space="preserve">Производство 5687 от 07.11.2025 </v>
      </c>
      <c r="B55" s="141"/>
      <c r="C55" s="22">
        <f t="shared" ref="C55:C80" si="8">C5</f>
        <v>434.94</v>
      </c>
      <c r="D55">
        <f t="shared" ref="D55:J55" si="9">ROUND(D5,3)</f>
        <v>72.281999999999996</v>
      </c>
      <c r="E55">
        <f t="shared" si="9"/>
        <v>64.94</v>
      </c>
      <c r="F55">
        <f t="shared" si="9"/>
        <v>89.277000000000001</v>
      </c>
      <c r="G55">
        <f t="shared" si="9"/>
        <v>0</v>
      </c>
      <c r="H55">
        <f t="shared" si="9"/>
        <v>0</v>
      </c>
      <c r="I55">
        <f t="shared" si="9"/>
        <v>0</v>
      </c>
      <c r="J55">
        <f t="shared" si="9"/>
        <v>0</v>
      </c>
    </row>
    <row r="56" spans="1:10" x14ac:dyDescent="0.25">
      <c r="A56" s="141" t="str">
        <f t="shared" si="7"/>
        <v xml:space="preserve">Производство 5712 от 08.11.2025 </v>
      </c>
      <c r="B56" s="141"/>
      <c r="C56" s="22">
        <f t="shared" si="8"/>
        <v>574.04999999999995</v>
      </c>
      <c r="D56">
        <f t="shared" ref="D56:F80" si="10">ROUND(D6,3)</f>
        <v>95.4</v>
      </c>
      <c r="E56">
        <f t="shared" si="10"/>
        <v>85.71</v>
      </c>
      <c r="F56">
        <f t="shared" si="10"/>
        <v>117.831</v>
      </c>
    </row>
    <row r="57" spans="1:10" x14ac:dyDescent="0.25">
      <c r="A57" s="141" t="str">
        <f t="shared" si="7"/>
        <v xml:space="preserve">Производство 5726 от 09.11.2025 </v>
      </c>
      <c r="B57" s="141"/>
      <c r="C57" s="22">
        <f t="shared" si="8"/>
        <v>407.28</v>
      </c>
      <c r="D57">
        <f t="shared" si="10"/>
        <v>67.685000000000002</v>
      </c>
      <c r="E57">
        <f t="shared" si="10"/>
        <v>60.81</v>
      </c>
      <c r="F57">
        <f t="shared" si="10"/>
        <v>83.599000000000004</v>
      </c>
    </row>
    <row r="58" spans="1:10" x14ac:dyDescent="0.25">
      <c r="A58" s="141" t="str">
        <f t="shared" si="7"/>
        <v xml:space="preserve">Производство 5774 от 10.11.2025 </v>
      </c>
      <c r="B58" s="141"/>
      <c r="C58" s="22">
        <f t="shared" si="8"/>
        <v>409.79</v>
      </c>
      <c r="D58">
        <f t="shared" si="10"/>
        <v>68.102000000000004</v>
      </c>
      <c r="E58">
        <f t="shared" si="10"/>
        <v>61.185000000000002</v>
      </c>
      <c r="F58">
        <f t="shared" si="10"/>
        <v>84.114000000000004</v>
      </c>
    </row>
    <row r="59" spans="1:10" x14ac:dyDescent="0.25">
      <c r="A59" s="141" t="str">
        <f t="shared" si="7"/>
        <v xml:space="preserve">Производство 5777 от 11.11.2025 </v>
      </c>
      <c r="B59" s="141"/>
      <c r="C59" s="22">
        <f t="shared" si="8"/>
        <v>404.68</v>
      </c>
      <c r="D59">
        <f t="shared" si="10"/>
        <v>67.253</v>
      </c>
      <c r="E59">
        <f t="shared" si="10"/>
        <v>60.421999999999997</v>
      </c>
      <c r="F59">
        <f t="shared" si="10"/>
        <v>83.066000000000003</v>
      </c>
    </row>
    <row r="60" spans="1:10" x14ac:dyDescent="0.25">
      <c r="A60" s="141" t="str">
        <f t="shared" si="7"/>
        <v xml:space="preserve">Производство 5905 от 12.11.2025 </v>
      </c>
      <c r="B60" s="141"/>
      <c r="C60" s="22">
        <f t="shared" si="8"/>
        <v>571.23</v>
      </c>
      <c r="D60">
        <f t="shared" si="10"/>
        <v>94.932000000000002</v>
      </c>
      <c r="E60">
        <f t="shared" si="10"/>
        <v>85.289000000000001</v>
      </c>
      <c r="F60">
        <f t="shared" si="10"/>
        <v>117.252</v>
      </c>
    </row>
    <row r="61" spans="1:10" x14ac:dyDescent="0.25">
      <c r="A61" s="141" t="str">
        <f t="shared" si="7"/>
        <v xml:space="preserve">Производство 5915 от 13.11.2025 </v>
      </c>
      <c r="B61" s="141"/>
      <c r="C61" s="22">
        <f t="shared" si="8"/>
        <v>816.01</v>
      </c>
      <c r="D61">
        <f t="shared" si="10"/>
        <v>135.61099999999999</v>
      </c>
      <c r="E61">
        <f t="shared" si="10"/>
        <v>121.836</v>
      </c>
      <c r="F61">
        <f t="shared" si="10"/>
        <v>167.49600000000001</v>
      </c>
    </row>
    <row r="62" spans="1:10" x14ac:dyDescent="0.25">
      <c r="A62" s="141" t="str">
        <f t="shared" si="7"/>
        <v xml:space="preserve">Производство 6005 от 14.11.2025 </v>
      </c>
      <c r="B62" s="141"/>
      <c r="C62" s="22">
        <f t="shared" si="8"/>
        <v>910.64</v>
      </c>
      <c r="D62">
        <f t="shared" si="10"/>
        <v>151.33799999999999</v>
      </c>
      <c r="E62">
        <f t="shared" si="10"/>
        <v>135.965</v>
      </c>
      <c r="F62">
        <f t="shared" si="10"/>
        <v>186.92</v>
      </c>
    </row>
    <row r="63" spans="1:10" x14ac:dyDescent="0.25">
      <c r="A63" s="141" t="str">
        <f t="shared" si="7"/>
        <v xml:space="preserve">Производство 6043 от 15.11.2025 </v>
      </c>
      <c r="B63" s="141"/>
      <c r="C63" s="22">
        <f t="shared" si="8"/>
        <v>321.93</v>
      </c>
      <c r="D63">
        <f t="shared" si="10"/>
        <v>53.500999999999998</v>
      </c>
      <c r="E63">
        <f t="shared" si="10"/>
        <v>48.066000000000003</v>
      </c>
      <c r="F63">
        <f t="shared" si="10"/>
        <v>66.08</v>
      </c>
    </row>
    <row r="64" spans="1:10" x14ac:dyDescent="0.25">
      <c r="A64" s="141" t="str">
        <f t="shared" si="7"/>
        <v xml:space="preserve">Производство 6063 от 17.11.2025 </v>
      </c>
      <c r="B64" s="141"/>
      <c r="C64" s="22">
        <f t="shared" si="8"/>
        <v>491.64</v>
      </c>
      <c r="D64">
        <f t="shared" si="10"/>
        <v>81.704999999999998</v>
      </c>
      <c r="E64">
        <f t="shared" si="10"/>
        <v>73.405000000000001</v>
      </c>
      <c r="F64">
        <f t="shared" si="10"/>
        <v>100.91500000000001</v>
      </c>
    </row>
    <row r="65" spans="1:6" x14ac:dyDescent="0.25">
      <c r="A65" s="141" t="str">
        <f t="shared" si="7"/>
        <v xml:space="preserve">Производство 6175 от 18.11.2025 </v>
      </c>
      <c r="B65" s="141"/>
      <c r="C65" s="22">
        <f t="shared" si="8"/>
        <v>272.54000000000002</v>
      </c>
      <c r="D65">
        <f t="shared" si="10"/>
        <v>45.292999999999999</v>
      </c>
      <c r="E65">
        <f t="shared" si="10"/>
        <v>40.692</v>
      </c>
      <c r="F65">
        <f t="shared" si="10"/>
        <v>55.942</v>
      </c>
    </row>
    <row r="66" spans="1:6" x14ac:dyDescent="0.25">
      <c r="A66" s="141" t="str">
        <f t="shared" si="7"/>
        <v xml:space="preserve">Производство 6209 от 19.11.2025 </v>
      </c>
      <c r="B66" s="141"/>
      <c r="C66" s="22">
        <f t="shared" si="8"/>
        <v>226.77</v>
      </c>
      <c r="D66">
        <f t="shared" si="10"/>
        <v>37.686</v>
      </c>
      <c r="E66">
        <f t="shared" si="10"/>
        <v>33.857999999999997</v>
      </c>
      <c r="F66">
        <f t="shared" si="10"/>
        <v>46.546999999999997</v>
      </c>
    </row>
    <row r="67" spans="1:6" x14ac:dyDescent="0.25">
      <c r="A67" s="141" t="str">
        <f t="shared" si="7"/>
        <v xml:space="preserve">Производство 6275 от 20.11.2025 </v>
      </c>
      <c r="B67" s="141"/>
      <c r="C67" s="22">
        <f t="shared" si="8"/>
        <v>830.32</v>
      </c>
      <c r="D67">
        <f t="shared" si="10"/>
        <v>137.989</v>
      </c>
      <c r="E67">
        <f t="shared" si="10"/>
        <v>123.973</v>
      </c>
      <c r="F67">
        <f t="shared" si="10"/>
        <v>170.43299999999999</v>
      </c>
    </row>
    <row r="68" spans="1:6" x14ac:dyDescent="0.25">
      <c r="A68" s="141" t="str">
        <f t="shared" si="7"/>
        <v xml:space="preserve">Производство 6323 от 21.11.2025 </v>
      </c>
      <c r="B68" s="141"/>
      <c r="C68" s="22">
        <f t="shared" si="8"/>
        <v>576.95000000000005</v>
      </c>
      <c r="D68">
        <f t="shared" si="10"/>
        <v>95.882000000000005</v>
      </c>
      <c r="E68">
        <f t="shared" si="10"/>
        <v>86.143000000000001</v>
      </c>
      <c r="F68">
        <f t="shared" si="10"/>
        <v>118.426</v>
      </c>
    </row>
    <row r="69" spans="1:6" x14ac:dyDescent="0.25">
      <c r="A69" s="141" t="str">
        <f t="shared" si="7"/>
        <v xml:space="preserve">Производство 6446 от 24.11.2025 </v>
      </c>
      <c r="B69" s="141"/>
      <c r="C69" s="22">
        <f t="shared" si="8"/>
        <v>1168.56</v>
      </c>
      <c r="D69">
        <f t="shared" si="10"/>
        <v>194.20099999999999</v>
      </c>
      <c r="E69">
        <f t="shared" si="10"/>
        <v>174.47399999999999</v>
      </c>
      <c r="F69">
        <f t="shared" si="10"/>
        <v>239.86099999999999</v>
      </c>
    </row>
    <row r="70" spans="1:6" x14ac:dyDescent="0.25">
      <c r="A70" s="141" t="str">
        <f t="shared" si="7"/>
        <v xml:space="preserve">Производство 6543 от 25.11.2025 </v>
      </c>
      <c r="B70" s="141"/>
      <c r="C70" s="22">
        <f t="shared" si="8"/>
        <v>1819.15</v>
      </c>
      <c r="D70">
        <f t="shared" si="10"/>
        <v>302.32100000000003</v>
      </c>
      <c r="E70">
        <f t="shared" si="10"/>
        <v>271.61200000000002</v>
      </c>
      <c r="F70">
        <f t="shared" si="10"/>
        <v>373.40300000000002</v>
      </c>
    </row>
    <row r="71" spans="1:6" x14ac:dyDescent="0.25">
      <c r="A71" s="141" t="str">
        <f t="shared" si="7"/>
        <v xml:space="preserve">Производство 6555 от 26.11.2025 </v>
      </c>
      <c r="B71" s="141"/>
      <c r="C71" s="22">
        <f t="shared" si="8"/>
        <v>1988.11</v>
      </c>
      <c r="D71">
        <f t="shared" si="10"/>
        <v>330.4</v>
      </c>
      <c r="E71">
        <f t="shared" si="10"/>
        <v>296.839</v>
      </c>
      <c r="F71">
        <f t="shared" si="10"/>
        <v>408.084</v>
      </c>
    </row>
    <row r="72" spans="1:6" x14ac:dyDescent="0.25">
      <c r="A72" s="141" t="str">
        <f t="shared" si="7"/>
        <v xml:space="preserve">Производство 6651 от 27.11.2025 </v>
      </c>
      <c r="B72" s="141"/>
      <c r="C72" s="22">
        <f t="shared" si="8"/>
        <v>1814.16</v>
      </c>
      <c r="D72">
        <f t="shared" si="10"/>
        <v>301.49200000000002</v>
      </c>
      <c r="E72">
        <f t="shared" si="10"/>
        <v>270.86700000000002</v>
      </c>
      <c r="F72">
        <f t="shared" si="10"/>
        <v>372.37900000000002</v>
      </c>
    </row>
    <row r="73" spans="1:6" x14ac:dyDescent="0.25">
      <c r="A73" s="141" t="str">
        <f t="shared" si="7"/>
        <v xml:space="preserve">Производство 6753 от 28.11.2025 </v>
      </c>
      <c r="B73" s="141"/>
      <c r="C73" s="22">
        <f t="shared" si="8"/>
        <v>1740.49</v>
      </c>
      <c r="D73">
        <f t="shared" si="10"/>
        <v>289.24900000000002</v>
      </c>
      <c r="E73">
        <f t="shared" si="10"/>
        <v>259.86799999999999</v>
      </c>
      <c r="F73">
        <f t="shared" si="10"/>
        <v>357.25700000000001</v>
      </c>
    </row>
    <row r="74" spans="1:6" x14ac:dyDescent="0.25">
      <c r="A74" s="141" t="str">
        <f t="shared" si="7"/>
        <v xml:space="preserve">Производство 6764 от 29.11.2025 </v>
      </c>
      <c r="B74" s="141"/>
      <c r="C74" s="22">
        <f t="shared" si="8"/>
        <v>664.94</v>
      </c>
      <c r="D74">
        <f t="shared" si="10"/>
        <v>110.505</v>
      </c>
      <c r="E74">
        <f t="shared" si="10"/>
        <v>99.28</v>
      </c>
      <c r="F74">
        <f t="shared" si="10"/>
        <v>136.48699999999999</v>
      </c>
    </row>
    <row r="75" spans="1:6" x14ac:dyDescent="0.25">
      <c r="A75" s="141" t="str">
        <f t="shared" si="7"/>
        <v xml:space="preserve">Производство 6835 от 01.12.2025 </v>
      </c>
      <c r="B75" s="141"/>
      <c r="C75" s="22">
        <f t="shared" si="8"/>
        <v>1161.5999999999999</v>
      </c>
      <c r="D75">
        <f t="shared" si="10"/>
        <v>193.04400000000001</v>
      </c>
      <c r="E75">
        <f t="shared" si="10"/>
        <v>173.435</v>
      </c>
      <c r="F75">
        <f t="shared" si="10"/>
        <v>238.43299999999999</v>
      </c>
    </row>
    <row r="76" spans="1:6" x14ac:dyDescent="0.25">
      <c r="A76" s="141" t="str">
        <f t="shared" si="7"/>
        <v xml:space="preserve">Производство 6869 от 02.12.2025 </v>
      </c>
      <c r="B76" s="141"/>
      <c r="C76" s="22">
        <f t="shared" si="8"/>
        <v>1710.16</v>
      </c>
      <c r="D76">
        <f t="shared" si="10"/>
        <v>284.20800000000003</v>
      </c>
      <c r="E76">
        <f t="shared" si="10"/>
        <v>255.339</v>
      </c>
      <c r="F76">
        <f t="shared" si="10"/>
        <v>351.03100000000001</v>
      </c>
    </row>
    <row r="77" spans="1:6" x14ac:dyDescent="0.25">
      <c r="A77" s="141" t="str">
        <f t="shared" si="7"/>
        <v xml:space="preserve">Производство 6932 от 03.12.2025 </v>
      </c>
      <c r="B77" s="141"/>
      <c r="C77" s="22">
        <f t="shared" si="8"/>
        <v>1866.46</v>
      </c>
      <c r="D77">
        <f t="shared" si="10"/>
        <v>310.18299999999999</v>
      </c>
      <c r="E77">
        <f t="shared" si="10"/>
        <v>278.67599999999999</v>
      </c>
      <c r="F77">
        <f t="shared" si="10"/>
        <v>383.11399999999998</v>
      </c>
    </row>
    <row r="78" spans="1:6" x14ac:dyDescent="0.25">
      <c r="A78" s="141" t="str">
        <f t="shared" si="7"/>
        <v xml:space="preserve">Производство 6983 от 04.12.2025 </v>
      </c>
      <c r="B78" s="141"/>
      <c r="C78" s="22">
        <f t="shared" si="8"/>
        <v>1927.31</v>
      </c>
      <c r="D78">
        <f t="shared" si="10"/>
        <v>320.29599999999999</v>
      </c>
      <c r="E78">
        <f t="shared" si="10"/>
        <v>287.76100000000002</v>
      </c>
      <c r="F78">
        <f t="shared" si="10"/>
        <v>395.60399999999998</v>
      </c>
    </row>
    <row r="79" spans="1:6" x14ac:dyDescent="0.25">
      <c r="A79" s="141" t="str">
        <f t="shared" si="7"/>
        <v xml:space="preserve">Производство 7043 от 05.12.2025 </v>
      </c>
      <c r="B79" s="141"/>
      <c r="C79" s="22">
        <f t="shared" si="8"/>
        <v>1525.44</v>
      </c>
      <c r="D79">
        <f t="shared" si="10"/>
        <v>253.51</v>
      </c>
      <c r="E79">
        <f t="shared" si="10"/>
        <v>227.75899999999999</v>
      </c>
      <c r="F79">
        <f t="shared" si="10"/>
        <v>313.11500000000001</v>
      </c>
    </row>
    <row r="80" spans="1:6" x14ac:dyDescent="0.25">
      <c r="A80" s="141" t="str">
        <f t="shared" si="7"/>
        <v xml:space="preserve">Производство 7056 от 08.12.2025 </v>
      </c>
      <c r="B80" s="141"/>
      <c r="C80" s="22">
        <f t="shared" si="8"/>
        <v>476.87</v>
      </c>
      <c r="D80">
        <f t="shared" si="10"/>
        <v>79.25</v>
      </c>
      <c r="E80">
        <f t="shared" si="10"/>
        <v>71.2</v>
      </c>
      <c r="F80">
        <f t="shared" si="10"/>
        <v>97.882999999999996</v>
      </c>
    </row>
    <row r="81" spans="1:14" x14ac:dyDescent="0.25">
      <c r="A81" s="141" t="str">
        <f t="shared" ref="A81:A87" si="11">A31</f>
        <v xml:space="preserve">Производство 7103 от 09.12.2025 </v>
      </c>
      <c r="B81" s="141"/>
      <c r="C81" s="22">
        <f t="shared" ref="C81:C87" si="12">C31</f>
        <v>397.05</v>
      </c>
      <c r="D81">
        <f t="shared" ref="D81:F87" si="13">ROUND(D31,3)</f>
        <v>65.984999999999999</v>
      </c>
      <c r="E81">
        <f t="shared" si="13"/>
        <v>59.281999999999996</v>
      </c>
      <c r="F81">
        <f t="shared" si="13"/>
        <v>81.498999999999995</v>
      </c>
    </row>
    <row r="82" spans="1:14" x14ac:dyDescent="0.25">
      <c r="A82" s="141" t="str">
        <f t="shared" si="11"/>
        <v xml:space="preserve">Производство 7142 от 10.12.2025 </v>
      </c>
      <c r="B82" s="141"/>
      <c r="C82" s="22">
        <f t="shared" si="12"/>
        <v>236.44</v>
      </c>
      <c r="D82">
        <f t="shared" si="13"/>
        <v>39.293999999999997</v>
      </c>
      <c r="E82">
        <f t="shared" si="13"/>
        <v>35.302</v>
      </c>
      <c r="F82">
        <f t="shared" si="13"/>
        <v>48.531999999999996</v>
      </c>
      <c r="N82" t="s">
        <v>179</v>
      </c>
    </row>
    <row r="83" spans="1:14" ht="15.75" thickBot="1" x14ac:dyDescent="0.3">
      <c r="A83" s="141" t="str">
        <f t="shared" si="11"/>
        <v xml:space="preserve">Производство 7173 от 11.12.2025 </v>
      </c>
      <c r="B83" s="141"/>
      <c r="C83" s="22">
        <f t="shared" si="12"/>
        <v>239.3</v>
      </c>
      <c r="D83">
        <f t="shared" si="13"/>
        <v>39.768999999999998</v>
      </c>
      <c r="E83">
        <f t="shared" si="13"/>
        <v>35.728999999999999</v>
      </c>
      <c r="F83">
        <f t="shared" si="13"/>
        <v>49.119</v>
      </c>
    </row>
    <row r="84" spans="1:14" hidden="1" x14ac:dyDescent="0.25">
      <c r="A84" s="141">
        <f t="shared" si="11"/>
        <v>0</v>
      </c>
      <c r="B84" s="141"/>
      <c r="C84" s="22">
        <f t="shared" si="12"/>
        <v>0</v>
      </c>
      <c r="D84">
        <f t="shared" si="13"/>
        <v>0</v>
      </c>
      <c r="E84">
        <f t="shared" si="13"/>
        <v>0</v>
      </c>
      <c r="F84">
        <f t="shared" si="13"/>
        <v>0</v>
      </c>
    </row>
    <row r="85" spans="1:14" hidden="1" x14ac:dyDescent="0.25">
      <c r="A85" s="141">
        <f t="shared" si="11"/>
        <v>0</v>
      </c>
      <c r="B85" s="141"/>
      <c r="C85" s="22">
        <f t="shared" si="12"/>
        <v>0</v>
      </c>
      <c r="D85">
        <f t="shared" si="13"/>
        <v>0</v>
      </c>
      <c r="E85">
        <f t="shared" si="13"/>
        <v>0</v>
      </c>
      <c r="F85">
        <f t="shared" si="13"/>
        <v>0</v>
      </c>
    </row>
    <row r="86" spans="1:14" hidden="1" x14ac:dyDescent="0.25">
      <c r="A86" s="141">
        <f t="shared" si="11"/>
        <v>0</v>
      </c>
      <c r="B86" s="141"/>
      <c r="C86" s="22">
        <f t="shared" si="12"/>
        <v>0</v>
      </c>
      <c r="D86">
        <f t="shared" si="13"/>
        <v>0</v>
      </c>
      <c r="E86">
        <f t="shared" si="13"/>
        <v>0</v>
      </c>
      <c r="F86">
        <f t="shared" si="13"/>
        <v>0</v>
      </c>
    </row>
    <row r="87" spans="1:14" hidden="1" x14ac:dyDescent="0.25">
      <c r="A87" s="141">
        <f t="shared" si="11"/>
        <v>0</v>
      </c>
      <c r="B87" s="141"/>
      <c r="C87" s="22">
        <f t="shared" si="12"/>
        <v>0</v>
      </c>
      <c r="D87">
        <f t="shared" si="13"/>
        <v>0</v>
      </c>
      <c r="E87">
        <f t="shared" si="13"/>
        <v>0</v>
      </c>
      <c r="F87">
        <f t="shared" si="13"/>
        <v>0</v>
      </c>
    </row>
    <row r="88" spans="1:14" hidden="1" x14ac:dyDescent="0.25">
      <c r="A88" s="141">
        <f t="shared" ref="A88:A89" si="14">A38</f>
        <v>0</v>
      </c>
      <c r="B88" s="141"/>
      <c r="C88" s="22">
        <f t="shared" ref="C88:C89" si="15">C38</f>
        <v>0</v>
      </c>
      <c r="D88">
        <f t="shared" ref="D88:F89" si="16">ROUND(D38,3)</f>
        <v>0</v>
      </c>
      <c r="E88">
        <f t="shared" si="16"/>
        <v>0</v>
      </c>
      <c r="F88">
        <f t="shared" si="16"/>
        <v>0</v>
      </c>
    </row>
    <row r="89" spans="1:14" hidden="1" x14ac:dyDescent="0.25">
      <c r="A89" s="141">
        <f t="shared" si="14"/>
        <v>0</v>
      </c>
      <c r="B89" s="141"/>
      <c r="C89" s="22">
        <f t="shared" si="15"/>
        <v>0</v>
      </c>
      <c r="D89">
        <f t="shared" si="16"/>
        <v>0</v>
      </c>
      <c r="E89">
        <f t="shared" si="16"/>
        <v>0</v>
      </c>
      <c r="F89">
        <f t="shared" si="16"/>
        <v>0</v>
      </c>
    </row>
    <row r="90" spans="1:14" hidden="1" x14ac:dyDescent="0.25">
      <c r="A90" s="141">
        <f t="shared" ref="A90:A101" si="17">A40</f>
        <v>0</v>
      </c>
      <c r="B90" s="141"/>
      <c r="C90" s="22">
        <f t="shared" ref="C90:C101" si="18">C40</f>
        <v>0</v>
      </c>
      <c r="D90">
        <f t="shared" ref="D90:J101" si="19">ROUND(D40,3)</f>
        <v>0</v>
      </c>
      <c r="E90">
        <f t="shared" si="19"/>
        <v>0</v>
      </c>
      <c r="F90">
        <f t="shared" si="19"/>
        <v>0</v>
      </c>
      <c r="G90">
        <f t="shared" si="19"/>
        <v>0</v>
      </c>
      <c r="H90">
        <f t="shared" si="19"/>
        <v>0</v>
      </c>
      <c r="I90">
        <f t="shared" si="19"/>
        <v>0</v>
      </c>
      <c r="J90">
        <f t="shared" si="19"/>
        <v>0</v>
      </c>
    </row>
    <row r="91" spans="1:14" hidden="1" x14ac:dyDescent="0.25">
      <c r="A91" s="141">
        <f t="shared" si="17"/>
        <v>0</v>
      </c>
      <c r="B91" s="141"/>
      <c r="C91" s="22">
        <f t="shared" si="18"/>
        <v>0</v>
      </c>
      <c r="D91">
        <f t="shared" si="19"/>
        <v>0</v>
      </c>
      <c r="E91">
        <f t="shared" si="19"/>
        <v>0</v>
      </c>
      <c r="F91">
        <f t="shared" si="19"/>
        <v>0</v>
      </c>
      <c r="G91">
        <f t="shared" si="19"/>
        <v>0</v>
      </c>
      <c r="H91">
        <f t="shared" si="19"/>
        <v>0</v>
      </c>
      <c r="I91">
        <f t="shared" si="19"/>
        <v>0</v>
      </c>
      <c r="J91">
        <f t="shared" si="19"/>
        <v>0</v>
      </c>
    </row>
    <row r="92" spans="1:14" hidden="1" x14ac:dyDescent="0.25">
      <c r="A92" s="141">
        <f t="shared" si="17"/>
        <v>0</v>
      </c>
      <c r="B92" s="141"/>
      <c r="C92" s="22">
        <f t="shared" si="18"/>
        <v>0</v>
      </c>
      <c r="D92">
        <f t="shared" si="19"/>
        <v>0</v>
      </c>
      <c r="E92">
        <f t="shared" si="19"/>
        <v>0</v>
      </c>
      <c r="F92">
        <f t="shared" si="19"/>
        <v>0</v>
      </c>
      <c r="G92">
        <f t="shared" si="19"/>
        <v>0</v>
      </c>
      <c r="H92">
        <f t="shared" si="19"/>
        <v>0</v>
      </c>
      <c r="I92">
        <f t="shared" si="19"/>
        <v>0</v>
      </c>
      <c r="J92">
        <f t="shared" si="19"/>
        <v>0</v>
      </c>
    </row>
    <row r="93" spans="1:14" hidden="1" x14ac:dyDescent="0.25">
      <c r="A93" s="141">
        <f t="shared" si="17"/>
        <v>0</v>
      </c>
      <c r="B93" s="141"/>
      <c r="C93" s="22">
        <f t="shared" si="18"/>
        <v>0</v>
      </c>
      <c r="D93">
        <f t="shared" si="19"/>
        <v>0</v>
      </c>
      <c r="E93">
        <f t="shared" si="19"/>
        <v>0</v>
      </c>
      <c r="F93">
        <f t="shared" si="19"/>
        <v>0</v>
      </c>
      <c r="G93">
        <f t="shared" si="19"/>
        <v>0</v>
      </c>
      <c r="H93">
        <f t="shared" si="19"/>
        <v>0</v>
      </c>
      <c r="I93">
        <f t="shared" si="19"/>
        <v>0</v>
      </c>
      <c r="J93">
        <f t="shared" si="19"/>
        <v>0</v>
      </c>
    </row>
    <row r="94" spans="1:14" hidden="1" x14ac:dyDescent="0.25">
      <c r="A94" s="141">
        <f t="shared" si="17"/>
        <v>0</v>
      </c>
      <c r="B94" s="141"/>
      <c r="C94" s="22">
        <f t="shared" si="18"/>
        <v>0</v>
      </c>
      <c r="D94">
        <f t="shared" si="19"/>
        <v>0</v>
      </c>
      <c r="E94">
        <f t="shared" si="19"/>
        <v>0</v>
      </c>
      <c r="F94">
        <f t="shared" si="19"/>
        <v>0</v>
      </c>
      <c r="G94">
        <f t="shared" si="19"/>
        <v>0</v>
      </c>
      <c r="H94">
        <f t="shared" si="19"/>
        <v>0</v>
      </c>
      <c r="I94">
        <f t="shared" si="19"/>
        <v>0</v>
      </c>
      <c r="J94">
        <f t="shared" si="19"/>
        <v>0</v>
      </c>
    </row>
    <row r="95" spans="1:14" hidden="1" x14ac:dyDescent="0.25">
      <c r="A95" s="141">
        <f t="shared" si="17"/>
        <v>0</v>
      </c>
      <c r="B95" s="141"/>
      <c r="C95" s="22">
        <f t="shared" si="18"/>
        <v>0</v>
      </c>
      <c r="D95">
        <f t="shared" si="19"/>
        <v>0</v>
      </c>
      <c r="E95">
        <f t="shared" si="19"/>
        <v>0</v>
      </c>
      <c r="F95">
        <f t="shared" si="19"/>
        <v>0</v>
      </c>
      <c r="G95">
        <f t="shared" si="19"/>
        <v>0</v>
      </c>
      <c r="H95">
        <f t="shared" si="19"/>
        <v>0</v>
      </c>
      <c r="I95">
        <f t="shared" si="19"/>
        <v>0</v>
      </c>
      <c r="J95">
        <f t="shared" si="19"/>
        <v>0</v>
      </c>
    </row>
    <row r="96" spans="1:14" hidden="1" x14ac:dyDescent="0.25">
      <c r="A96" s="141">
        <f t="shared" si="17"/>
        <v>0</v>
      </c>
      <c r="B96" s="141"/>
      <c r="C96" s="22">
        <f t="shared" si="18"/>
        <v>0</v>
      </c>
      <c r="D96">
        <f t="shared" si="19"/>
        <v>0</v>
      </c>
      <c r="E96">
        <f t="shared" si="19"/>
        <v>0</v>
      </c>
      <c r="F96">
        <f t="shared" si="19"/>
        <v>0</v>
      </c>
      <c r="G96">
        <f t="shared" si="19"/>
        <v>0</v>
      </c>
      <c r="H96">
        <f t="shared" si="19"/>
        <v>0</v>
      </c>
      <c r="I96">
        <f t="shared" si="19"/>
        <v>0</v>
      </c>
      <c r="J96">
        <f t="shared" si="19"/>
        <v>0</v>
      </c>
    </row>
    <row r="97" spans="1:10" hidden="1" x14ac:dyDescent="0.25">
      <c r="A97" s="141">
        <f t="shared" si="17"/>
        <v>0</v>
      </c>
      <c r="B97" s="141"/>
      <c r="C97" s="22">
        <f t="shared" si="18"/>
        <v>0</v>
      </c>
      <c r="D97">
        <f t="shared" si="19"/>
        <v>0</v>
      </c>
      <c r="E97">
        <f t="shared" si="19"/>
        <v>0</v>
      </c>
      <c r="F97">
        <f t="shared" si="19"/>
        <v>0</v>
      </c>
      <c r="G97">
        <f t="shared" si="19"/>
        <v>0</v>
      </c>
      <c r="H97">
        <f t="shared" si="19"/>
        <v>0</v>
      </c>
      <c r="I97">
        <f t="shared" si="19"/>
        <v>0</v>
      </c>
      <c r="J97">
        <f t="shared" si="19"/>
        <v>0</v>
      </c>
    </row>
    <row r="98" spans="1:10" hidden="1" x14ac:dyDescent="0.25">
      <c r="A98" s="141">
        <f t="shared" si="17"/>
        <v>0</v>
      </c>
      <c r="B98" s="141"/>
      <c r="C98" s="22">
        <f t="shared" si="18"/>
        <v>0</v>
      </c>
      <c r="D98">
        <f t="shared" si="19"/>
        <v>0</v>
      </c>
      <c r="E98">
        <f t="shared" si="19"/>
        <v>0</v>
      </c>
      <c r="F98">
        <f t="shared" si="19"/>
        <v>0</v>
      </c>
      <c r="G98">
        <f t="shared" si="19"/>
        <v>0</v>
      </c>
      <c r="H98">
        <f t="shared" si="19"/>
        <v>0</v>
      </c>
      <c r="I98">
        <f t="shared" si="19"/>
        <v>0</v>
      </c>
      <c r="J98">
        <f t="shared" si="19"/>
        <v>0</v>
      </c>
    </row>
    <row r="99" spans="1:10" hidden="1" x14ac:dyDescent="0.25">
      <c r="A99" s="141">
        <f t="shared" si="17"/>
        <v>0</v>
      </c>
      <c r="B99" s="141"/>
      <c r="C99" s="22">
        <f t="shared" si="18"/>
        <v>0</v>
      </c>
      <c r="D99">
        <f t="shared" si="19"/>
        <v>0</v>
      </c>
      <c r="E99">
        <f t="shared" si="19"/>
        <v>0</v>
      </c>
      <c r="F99">
        <f t="shared" si="19"/>
        <v>0</v>
      </c>
      <c r="G99">
        <f t="shared" si="19"/>
        <v>0</v>
      </c>
      <c r="H99">
        <f t="shared" si="19"/>
        <v>0</v>
      </c>
      <c r="I99">
        <f t="shared" si="19"/>
        <v>0</v>
      </c>
      <c r="J99">
        <f t="shared" si="19"/>
        <v>0</v>
      </c>
    </row>
    <row r="100" spans="1:10" hidden="1" x14ac:dyDescent="0.25">
      <c r="A100" s="141">
        <f t="shared" si="17"/>
        <v>0</v>
      </c>
      <c r="B100" s="141"/>
      <c r="C100" s="22">
        <f t="shared" si="18"/>
        <v>0</v>
      </c>
      <c r="D100">
        <f t="shared" si="19"/>
        <v>0</v>
      </c>
      <c r="E100">
        <f t="shared" si="19"/>
        <v>0</v>
      </c>
      <c r="F100">
        <f t="shared" si="19"/>
        <v>0</v>
      </c>
      <c r="G100">
        <f t="shared" si="19"/>
        <v>0</v>
      </c>
      <c r="H100">
        <f t="shared" si="19"/>
        <v>0</v>
      </c>
      <c r="I100">
        <f t="shared" si="19"/>
        <v>0</v>
      </c>
      <c r="J100">
        <f t="shared" si="19"/>
        <v>0</v>
      </c>
    </row>
    <row r="101" spans="1:10" ht="15.75" hidden="1" thickBot="1" x14ac:dyDescent="0.3">
      <c r="A101" s="141">
        <f t="shared" si="17"/>
        <v>0</v>
      </c>
      <c r="B101" s="141"/>
      <c r="C101" s="22">
        <f t="shared" si="18"/>
        <v>0</v>
      </c>
      <c r="D101">
        <f t="shared" si="19"/>
        <v>0</v>
      </c>
      <c r="E101">
        <f t="shared" si="19"/>
        <v>0</v>
      </c>
      <c r="F101">
        <f t="shared" si="19"/>
        <v>0</v>
      </c>
      <c r="G101">
        <f t="shared" si="19"/>
        <v>0</v>
      </c>
      <c r="H101">
        <f t="shared" si="19"/>
        <v>0</v>
      </c>
      <c r="I101">
        <f t="shared" si="19"/>
        <v>0</v>
      </c>
      <c r="J101">
        <f t="shared" si="19"/>
        <v>0</v>
      </c>
    </row>
    <row r="102" spans="1:10" ht="15" customHeight="1" x14ac:dyDescent="0.25">
      <c r="A102" s="137" t="s">
        <v>6</v>
      </c>
      <c r="B102" s="137"/>
      <c r="C102" s="12">
        <f t="shared" ref="C102:J102" si="20">SUM(C55:C101)</f>
        <v>25984.809999999994</v>
      </c>
      <c r="D102" s="2">
        <f t="shared" si="20"/>
        <v>4318.366</v>
      </c>
      <c r="E102" s="2">
        <f t="shared" si="20"/>
        <v>3879.7169999999996</v>
      </c>
      <c r="F102" s="2">
        <f t="shared" si="20"/>
        <v>5333.6989999999996</v>
      </c>
      <c r="G102" s="2">
        <f t="shared" si="20"/>
        <v>0</v>
      </c>
      <c r="H102" s="2">
        <f t="shared" si="20"/>
        <v>0</v>
      </c>
      <c r="I102" s="2">
        <f t="shared" si="20"/>
        <v>0</v>
      </c>
      <c r="J102" s="2">
        <f t="shared" si="20"/>
        <v>0</v>
      </c>
    </row>
    <row r="105" spans="1:10" x14ac:dyDescent="0.25">
      <c r="D105" t="s">
        <v>107</v>
      </c>
      <c r="E105" t="s">
        <v>108</v>
      </c>
      <c r="F105" t="s">
        <v>109</v>
      </c>
    </row>
    <row r="106" spans="1:10" x14ac:dyDescent="0.25">
      <c r="C106" t="str">
        <f>D4</f>
        <v>300dne</v>
      </c>
      <c r="D106" s="40">
        <f>D52/C52</f>
        <v>0.16618813068096328</v>
      </c>
      <c r="E106" s="40">
        <v>0.193</v>
      </c>
      <c r="F106" s="29">
        <f>D106/E106-1</f>
        <v>-0.13892160268930953</v>
      </c>
      <c r="G106" s="40"/>
      <c r="H106" s="40"/>
      <c r="I106" s="40"/>
      <c r="J106" s="40"/>
    </row>
    <row r="107" spans="1:10" x14ac:dyDescent="0.25">
      <c r="C107" t="str">
        <f>E4</f>
        <v>150dne суровая</v>
      </c>
      <c r="D107" s="40">
        <f>(E52+F52)/C52</f>
        <v>0.35456934262748124</v>
      </c>
      <c r="E107" s="40">
        <v>0.31</v>
      </c>
      <c r="F107" s="29">
        <f t="shared" ref="F107:F109" si="21">D107/E107-1</f>
        <v>0.143772072991875</v>
      </c>
    </row>
    <row r="108" spans="1:10" x14ac:dyDescent="0.25">
      <c r="D108" s="40"/>
      <c r="E108" s="40"/>
      <c r="F108" s="29"/>
      <c r="G108" s="40"/>
      <c r="H108" s="40"/>
      <c r="I108" s="40"/>
      <c r="J108" s="40"/>
    </row>
    <row r="109" spans="1:10" hidden="1" x14ac:dyDescent="0.25">
      <c r="C109">
        <f>G4</f>
        <v>0</v>
      </c>
      <c r="D109" s="40">
        <f>G52/C52</f>
        <v>0</v>
      </c>
      <c r="E109" s="40">
        <v>8.7999999999999995E-2</v>
      </c>
      <c r="F109" s="29">
        <f t="shared" si="21"/>
        <v>-1</v>
      </c>
    </row>
  </sheetData>
  <mergeCells count="91">
    <mergeCell ref="A32:B32"/>
    <mergeCell ref="A33:B33"/>
    <mergeCell ref="A28:B28"/>
    <mergeCell ref="A29:B29"/>
    <mergeCell ref="A30:B30"/>
    <mergeCell ref="A31:B31"/>
    <mergeCell ref="A24:B24"/>
    <mergeCell ref="A25:B25"/>
    <mergeCell ref="A26:B26"/>
    <mergeCell ref="A27:B27"/>
    <mergeCell ref="A20:B20"/>
    <mergeCell ref="A21:B21"/>
    <mergeCell ref="A22:B22"/>
    <mergeCell ref="A23:B23"/>
    <mergeCell ref="A19:B19"/>
    <mergeCell ref="A17:B17"/>
    <mergeCell ref="A18:B18"/>
    <mergeCell ref="A16:B16"/>
    <mergeCell ref="A15:B15"/>
    <mergeCell ref="A8:B8"/>
    <mergeCell ref="A9:B9"/>
    <mergeCell ref="A81:B81"/>
    <mergeCell ref="A82:B82"/>
    <mergeCell ref="A83:B83"/>
    <mergeCell ref="A77:B77"/>
    <mergeCell ref="A78:B78"/>
    <mergeCell ref="A79:B79"/>
    <mergeCell ref="A80:B80"/>
    <mergeCell ref="A12:B12"/>
    <mergeCell ref="A13:B13"/>
    <mergeCell ref="A14:B14"/>
    <mergeCell ref="A73:B73"/>
    <mergeCell ref="A74:B74"/>
    <mergeCell ref="A75:B75"/>
    <mergeCell ref="A76:B76"/>
    <mergeCell ref="A101:B101"/>
    <mergeCell ref="A102:B102"/>
    <mergeCell ref="A65:B65"/>
    <mergeCell ref="A61:B61"/>
    <mergeCell ref="A62:B62"/>
    <mergeCell ref="A63:B63"/>
    <mergeCell ref="A64:B64"/>
    <mergeCell ref="A89:B89"/>
    <mergeCell ref="A84:B84"/>
    <mergeCell ref="A85:B85"/>
    <mergeCell ref="A86:B86"/>
    <mergeCell ref="A87:B87"/>
    <mergeCell ref="A88:B88"/>
    <mergeCell ref="A70:B70"/>
    <mergeCell ref="A71:B71"/>
    <mergeCell ref="A72:B72"/>
    <mergeCell ref="A92:B92"/>
    <mergeCell ref="A91:B91"/>
    <mergeCell ref="A98:B98"/>
    <mergeCell ref="A99:B99"/>
    <mergeCell ref="A100:B100"/>
    <mergeCell ref="A93:B93"/>
    <mergeCell ref="A94:B94"/>
    <mergeCell ref="A95:B95"/>
    <mergeCell ref="A96:B96"/>
    <mergeCell ref="A97:B97"/>
    <mergeCell ref="A50:B50"/>
    <mergeCell ref="A51:B51"/>
    <mergeCell ref="A52:B52"/>
    <mergeCell ref="A55:B55"/>
    <mergeCell ref="A90:B90"/>
    <mergeCell ref="A60:B60"/>
    <mergeCell ref="A56:B56"/>
    <mergeCell ref="A57:B57"/>
    <mergeCell ref="A58:B58"/>
    <mergeCell ref="A59:B59"/>
    <mergeCell ref="A69:B69"/>
    <mergeCell ref="A67:B67"/>
    <mergeCell ref="A68:B68"/>
    <mergeCell ref="A66:B66"/>
    <mergeCell ref="A49:B49"/>
    <mergeCell ref="A1:E1"/>
    <mergeCell ref="A40:B40"/>
    <mergeCell ref="A41:B41"/>
    <mergeCell ref="A42:B42"/>
    <mergeCell ref="A43:B43"/>
    <mergeCell ref="A10:B10"/>
    <mergeCell ref="A11:B11"/>
    <mergeCell ref="A44:B44"/>
    <mergeCell ref="A45:B45"/>
    <mergeCell ref="A46:B46"/>
    <mergeCell ref="A47:B47"/>
    <mergeCell ref="A48:B48"/>
    <mergeCell ref="A5:B5"/>
    <mergeCell ref="A6:B6"/>
    <mergeCell ref="A7:B7"/>
  </mergeCells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2"/>
  <sheetViews>
    <sheetView workbookViewId="0">
      <selection activeCell="P44" sqref="P44"/>
    </sheetView>
  </sheetViews>
  <sheetFormatPr defaultRowHeight="15" x14ac:dyDescent="0.25"/>
  <cols>
    <col min="1" max="1" width="27.5703125" customWidth="1"/>
    <col min="3" max="3" width="13.7109375" customWidth="1"/>
    <col min="4" max="4" width="16.28515625" customWidth="1"/>
    <col min="5" max="5" width="15.28515625" customWidth="1"/>
    <col min="6" max="6" width="12.28515625" customWidth="1"/>
    <col min="7" max="7" width="17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189</v>
      </c>
      <c r="B1" s="138"/>
      <c r="C1" s="138"/>
      <c r="D1" s="138"/>
      <c r="E1" s="138"/>
    </row>
    <row r="2" spans="1:10" x14ac:dyDescent="0.25">
      <c r="A2" s="37"/>
      <c r="B2" s="51"/>
      <c r="C2" s="51"/>
      <c r="D2" s="51"/>
      <c r="E2" s="51"/>
    </row>
    <row r="3" spans="1:10" x14ac:dyDescent="0.25">
      <c r="A3" s="37" t="s">
        <v>190</v>
      </c>
      <c r="C3" s="37" t="s">
        <v>191</v>
      </c>
    </row>
    <row r="4" spans="1:10" s="47" customFormat="1" ht="45" x14ac:dyDescent="0.25">
      <c r="D4" s="38" t="s">
        <v>149</v>
      </c>
      <c r="E4" s="38" t="s">
        <v>7</v>
      </c>
      <c r="F4" s="38" t="s">
        <v>192</v>
      </c>
      <c r="G4" s="38" t="s">
        <v>193</v>
      </c>
      <c r="H4" s="48"/>
      <c r="I4" s="48"/>
      <c r="J4" s="48"/>
    </row>
    <row r="5" spans="1:10" ht="15" customHeight="1" x14ac:dyDescent="0.25">
      <c r="A5" s="155" t="s">
        <v>194</v>
      </c>
      <c r="B5" s="155"/>
      <c r="C5" s="53">
        <v>50.77</v>
      </c>
      <c r="D5">
        <f t="shared" ref="D5:J17" si="0">$C5/$C$18*D$18</f>
        <v>2.7830565789239508</v>
      </c>
      <c r="E5">
        <f t="shared" si="0"/>
        <v>12.211112534928008</v>
      </c>
      <c r="F5">
        <f t="shared" si="0"/>
        <v>10.249419082705964</v>
      </c>
      <c r="G5">
        <f t="shared" si="0"/>
        <v>6.5844588605905292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55" t="s">
        <v>195</v>
      </c>
      <c r="B6" s="155"/>
      <c r="C6" s="53">
        <v>249.17</v>
      </c>
      <c r="D6">
        <f t="shared" si="0"/>
        <v>13.6587395660918</v>
      </c>
      <c r="E6">
        <f t="shared" si="0"/>
        <v>59.929937174079399</v>
      </c>
      <c r="F6">
        <f t="shared" si="0"/>
        <v>50.302299642266</v>
      </c>
      <c r="G6">
        <f t="shared" si="0"/>
        <v>32.315336109776283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thickBot="1" x14ac:dyDescent="0.3">
      <c r="A7" s="155" t="s">
        <v>196</v>
      </c>
      <c r="B7" s="155"/>
      <c r="C7" s="53">
        <v>261.93</v>
      </c>
      <c r="D7">
        <f t="shared" si="0"/>
        <v>14.358203854984248</v>
      </c>
      <c r="E7">
        <f t="shared" si="0"/>
        <v>62.998950290992568</v>
      </c>
      <c r="F7">
        <f t="shared" si="0"/>
        <v>52.87828127502803</v>
      </c>
      <c r="G7">
        <f t="shared" si="0"/>
        <v>33.970205029633192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hidden="1" customHeight="1" x14ac:dyDescent="0.25">
      <c r="A8" s="154"/>
      <c r="B8" s="154"/>
      <c r="C8" s="49"/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.75" hidden="1" thickBot="1" x14ac:dyDescent="0.3">
      <c r="A9" s="154"/>
      <c r="B9" s="154"/>
      <c r="C9" s="49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t="15.75" hidden="1" thickBot="1" x14ac:dyDescent="0.3">
      <c r="A10" s="148"/>
      <c r="B10" s="148"/>
      <c r="C10" s="26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hidden="1" thickBot="1" x14ac:dyDescent="0.3">
      <c r="A11" s="148"/>
      <c r="B11" s="148"/>
      <c r="C11" s="26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561.87</v>
      </c>
      <c r="D18" s="2">
        <v>30.8</v>
      </c>
      <c r="E18" s="2">
        <v>135.13999999999999</v>
      </c>
      <c r="F18" s="2">
        <v>113.43</v>
      </c>
      <c r="G18" s="2">
        <v>72.87</v>
      </c>
      <c r="H18" s="2"/>
      <c r="I18" s="2"/>
      <c r="J18" s="2"/>
    </row>
    <row r="20" spans="1:10" s="47" customFormat="1" ht="42" customHeight="1" x14ac:dyDescent="0.25">
      <c r="D20" s="38" t="str">
        <f t="shared" ref="D20:F20" si="2">D4</f>
        <v>150dne суровая Турция</v>
      </c>
      <c r="E20" s="38" t="str">
        <f t="shared" si="2"/>
        <v>600dne</v>
      </c>
      <c r="F20" s="38" t="str">
        <f t="shared" si="2"/>
        <v>пряжа смешанная 20 текс</v>
      </c>
      <c r="G20" s="38" t="str">
        <f>G4</f>
        <v>трилобал 167</v>
      </c>
      <c r="H20" s="48">
        <f t="shared" ref="H20:J20" si="3">H4</f>
        <v>0</v>
      </c>
      <c r="I20" s="48">
        <f t="shared" si="3"/>
        <v>0</v>
      </c>
      <c r="J20" s="48">
        <f t="shared" si="3"/>
        <v>0</v>
      </c>
    </row>
    <row r="21" spans="1:10" x14ac:dyDescent="0.25">
      <c r="A21" s="141" t="str">
        <f>A5</f>
        <v xml:space="preserve">Производство 7157 от 10.12.2025 </v>
      </c>
      <c r="B21" s="141"/>
      <c r="C21" s="22">
        <f>C5</f>
        <v>50.77</v>
      </c>
      <c r="D21">
        <f>ROUND(D5,3)</f>
        <v>2.7829999999999999</v>
      </c>
      <c r="E21">
        <f t="shared" ref="E21:J33" si="4">ROUND(E5,3)</f>
        <v>12.211</v>
      </c>
      <c r="F21">
        <f t="shared" si="4"/>
        <v>10.249000000000001</v>
      </c>
      <c r="G21">
        <f t="shared" si="4"/>
        <v>6.5839999999999996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ref="A22:A33" si="5">A6</f>
        <v xml:space="preserve">Производство 7181 от 11.12.2025 </v>
      </c>
      <c r="B22" s="141"/>
      <c r="C22" s="22">
        <f t="shared" ref="C22:C33" si="6">C6</f>
        <v>249.17</v>
      </c>
      <c r="D22">
        <f t="shared" ref="D22:G33" si="7">ROUND(D6,3)</f>
        <v>13.659000000000001</v>
      </c>
      <c r="E22">
        <f t="shared" si="7"/>
        <v>59.93</v>
      </c>
      <c r="F22">
        <f t="shared" si="7"/>
        <v>50.302</v>
      </c>
      <c r="G22">
        <f t="shared" si="7"/>
        <v>32.314999999999998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ht="15.75" thickBot="1" x14ac:dyDescent="0.3">
      <c r="A23" s="141" t="str">
        <f t="shared" si="5"/>
        <v xml:space="preserve">Производство 7200 от 12.12.2025 </v>
      </c>
      <c r="B23" s="141"/>
      <c r="C23" s="22">
        <f t="shared" si="6"/>
        <v>261.93</v>
      </c>
      <c r="D23">
        <f t="shared" si="7"/>
        <v>14.358000000000001</v>
      </c>
      <c r="E23">
        <f t="shared" si="7"/>
        <v>62.999000000000002</v>
      </c>
      <c r="F23">
        <f t="shared" si="7"/>
        <v>52.878</v>
      </c>
      <c r="G23">
        <f t="shared" si="7"/>
        <v>33.97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hidden="1" x14ac:dyDescent="0.25">
      <c r="A24" s="141">
        <f t="shared" si="5"/>
        <v>0</v>
      </c>
      <c r="B24" s="141"/>
      <c r="C24" s="22">
        <f t="shared" si="6"/>
        <v>0</v>
      </c>
      <c r="D24">
        <f t="shared" si="7"/>
        <v>0</v>
      </c>
      <c r="E24">
        <f t="shared" si="7"/>
        <v>0</v>
      </c>
      <c r="F24">
        <f t="shared" si="7"/>
        <v>0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ht="15.75" hidden="1" thickBot="1" x14ac:dyDescent="0.3">
      <c r="A25" s="141">
        <f t="shared" si="5"/>
        <v>0</v>
      </c>
      <c r="B25" s="141"/>
      <c r="C25" s="22">
        <f t="shared" si="6"/>
        <v>0</v>
      </c>
      <c r="D25">
        <f t="shared" si="7"/>
        <v>0</v>
      </c>
      <c r="E25">
        <f t="shared" si="7"/>
        <v>0</v>
      </c>
      <c r="F25">
        <f t="shared" si="7"/>
        <v>0</v>
      </c>
      <c r="G25">
        <f t="shared" si="7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t="15.75" hidden="1" thickBot="1" x14ac:dyDescent="0.3">
      <c r="A26" s="141">
        <f t="shared" si="5"/>
        <v>0</v>
      </c>
      <c r="B26" s="141"/>
      <c r="C26" s="22">
        <f t="shared" si="6"/>
        <v>0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t="15.75" hidden="1" thickBot="1" x14ac:dyDescent="0.3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t="15.75" hidden="1" thickBot="1" x14ac:dyDescent="0.3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t="15.75" hidden="1" thickBot="1" x14ac:dyDescent="0.3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t="15.75" hidden="1" thickBot="1" x14ac:dyDescent="0.3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t="15.75" hidden="1" thickBot="1" x14ac:dyDescent="0.3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t="15.75" hidden="1" thickBot="1" x14ac:dyDescent="0.3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561.87</v>
      </c>
      <c r="D34" s="2">
        <f>SUM(D21:D33)</f>
        <v>30.8</v>
      </c>
      <c r="E34" s="2">
        <f t="shared" ref="E34:J34" si="8">SUM(E21:E33)</f>
        <v>135.14000000000001</v>
      </c>
      <c r="F34" s="2">
        <f t="shared" si="8"/>
        <v>113.429</v>
      </c>
      <c r="G34" s="2">
        <f t="shared" si="8"/>
        <v>72.869</v>
      </c>
      <c r="H34" s="2">
        <f t="shared" si="8"/>
        <v>0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>150dne суровая Турция</v>
      </c>
      <c r="D38" s="51">
        <f>D18/C18</f>
        <v>5.4816950540160538E-2</v>
      </c>
      <c r="E38" s="51">
        <v>0.09</v>
      </c>
      <c r="F38" s="29">
        <f>D38/E38-1</f>
        <v>-0.39092277177599399</v>
      </c>
      <c r="G38" s="51"/>
      <c r="H38" s="51"/>
      <c r="I38" s="51"/>
      <c r="J38" s="51"/>
    </row>
    <row r="39" spans="1:10" x14ac:dyDescent="0.25">
      <c r="C39" t="str">
        <f>E4</f>
        <v>600dne</v>
      </c>
      <c r="D39" s="51">
        <f>E18/C18</f>
        <v>0.2405182693505615</v>
      </c>
      <c r="E39" s="51">
        <v>0.2</v>
      </c>
      <c r="F39" s="29">
        <f t="shared" ref="F39:F42" si="9">D39/E39-1</f>
        <v>0.20259134675280754</v>
      </c>
    </row>
    <row r="40" spans="1:10" x14ac:dyDescent="0.25">
      <c r="C40" t="str">
        <f>F4</f>
        <v>пряжа смешанная 20 текс</v>
      </c>
      <c r="D40" s="51">
        <f>F18/C18</f>
        <v>0.20187943830423408</v>
      </c>
      <c r="E40" s="51">
        <v>0.21</v>
      </c>
      <c r="F40" s="29">
        <f t="shared" si="9"/>
        <v>-3.8669341408409164E-2</v>
      </c>
      <c r="G40" s="51"/>
      <c r="H40" s="51"/>
      <c r="I40" s="51"/>
      <c r="J40" s="51"/>
    </row>
    <row r="41" spans="1:10" hidden="1" x14ac:dyDescent="0.25">
      <c r="C41" t="str">
        <f>G4</f>
        <v>трилобал 167</v>
      </c>
      <c r="D41" s="51">
        <f>G18/C18</f>
        <v>0.12969192161887982</v>
      </c>
      <c r="E41" s="51">
        <v>8.7999999999999995E-2</v>
      </c>
      <c r="F41" s="29">
        <f t="shared" si="9"/>
        <v>0.47377183657818001</v>
      </c>
    </row>
    <row r="42" spans="1:10" x14ac:dyDescent="0.25">
      <c r="C42" t="str">
        <f>G4</f>
        <v>трилобал 167</v>
      </c>
      <c r="D42" s="51">
        <f>G18/C18</f>
        <v>0.12969192161887982</v>
      </c>
      <c r="E42" s="51">
        <v>0.114</v>
      </c>
      <c r="F42" s="50">
        <f t="shared" si="9"/>
        <v>0.13764843525333181</v>
      </c>
    </row>
  </sheetData>
  <mergeCells count="29">
    <mergeCell ref="A1:E1"/>
    <mergeCell ref="A8:B8"/>
    <mergeCell ref="A9:B9"/>
    <mergeCell ref="A26:B26"/>
    <mergeCell ref="A27:B27"/>
    <mergeCell ref="A5:B5"/>
    <mergeCell ref="A6:B6"/>
    <mergeCell ref="A7:B7"/>
    <mergeCell ref="A10:B10"/>
    <mergeCell ref="A11:B11"/>
    <mergeCell ref="A12:B12"/>
    <mergeCell ref="A13:B13"/>
    <mergeCell ref="A14:B14"/>
    <mergeCell ref="A15:B15"/>
    <mergeCell ref="A28:B28"/>
    <mergeCell ref="A29:B29"/>
    <mergeCell ref="A16:B16"/>
    <mergeCell ref="A17:B17"/>
    <mergeCell ref="A18:B18"/>
    <mergeCell ref="A21:B21"/>
    <mergeCell ref="A22:B22"/>
    <mergeCell ref="A23:B23"/>
    <mergeCell ref="A24:B24"/>
    <mergeCell ref="A25:B25"/>
    <mergeCell ref="A30:B30"/>
    <mergeCell ref="A31:B31"/>
    <mergeCell ref="A32:B32"/>
    <mergeCell ref="A33:B33"/>
    <mergeCell ref="A34:B34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workbookViewId="0">
      <selection activeCell="F38" sqref="F38:F40"/>
    </sheetView>
  </sheetViews>
  <sheetFormatPr defaultRowHeight="15" x14ac:dyDescent="0.25"/>
  <cols>
    <col min="1" max="1" width="27.5703125" customWidth="1"/>
    <col min="3" max="3" width="13.7109375" customWidth="1"/>
    <col min="4" max="4" width="16.28515625" customWidth="1"/>
    <col min="5" max="5" width="15.28515625" customWidth="1"/>
    <col min="6" max="6" width="12.28515625" customWidth="1"/>
    <col min="7" max="7" width="15.85546875" hidden="1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130</v>
      </c>
      <c r="B1" s="138"/>
      <c r="C1" s="138"/>
      <c r="D1" s="138"/>
      <c r="E1" s="138"/>
    </row>
    <row r="2" spans="1:10" x14ac:dyDescent="0.25">
      <c r="A2" s="37" t="s">
        <v>131</v>
      </c>
      <c r="B2" s="33"/>
      <c r="C2" s="33"/>
      <c r="D2" s="33"/>
      <c r="E2" s="33"/>
    </row>
    <row r="4" spans="1:10" ht="30" x14ac:dyDescent="0.25">
      <c r="D4" s="38" t="s">
        <v>132</v>
      </c>
      <c r="E4" s="38" t="s">
        <v>133</v>
      </c>
      <c r="F4" s="38" t="s">
        <v>134</v>
      </c>
      <c r="G4" s="8"/>
      <c r="H4" s="4"/>
      <c r="I4" s="4"/>
      <c r="J4" s="4"/>
    </row>
    <row r="5" spans="1:10" ht="15" customHeight="1" x14ac:dyDescent="0.25">
      <c r="A5" s="156" t="s">
        <v>135</v>
      </c>
      <c r="B5" s="156"/>
      <c r="C5" s="39">
        <v>315.06</v>
      </c>
      <c r="D5">
        <f t="shared" ref="D5:J17" si="0">$C5/$C$18*D$18</f>
        <v>66.78958337842225</v>
      </c>
      <c r="E5">
        <f t="shared" si="0"/>
        <v>100.3832550589763</v>
      </c>
      <c r="F5">
        <f t="shared" si="0"/>
        <v>147.50076615084947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thickBot="1" x14ac:dyDescent="0.3">
      <c r="A6" s="156" t="s">
        <v>136</v>
      </c>
      <c r="B6" s="156"/>
      <c r="C6" s="39">
        <v>239.4</v>
      </c>
      <c r="D6">
        <f t="shared" si="0"/>
        <v>50.750416621577756</v>
      </c>
      <c r="E6">
        <f t="shared" si="0"/>
        <v>76.276744941023694</v>
      </c>
      <c r="F6">
        <f t="shared" si="0"/>
        <v>112.07923384915051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hidden="1" customHeight="1" x14ac:dyDescent="0.3">
      <c r="A7" s="149"/>
      <c r="B7" s="149"/>
      <c r="C7" s="27"/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hidden="1" customHeight="1" thickBot="1" x14ac:dyDescent="0.3">
      <c r="A8" s="149"/>
      <c r="B8" s="149"/>
      <c r="C8" s="27"/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.75" hidden="1" thickBot="1" x14ac:dyDescent="0.3">
      <c r="A9" s="148"/>
      <c r="B9" s="148"/>
      <c r="C9" s="26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t="15.75" hidden="1" thickBot="1" x14ac:dyDescent="0.3">
      <c r="A10" s="148"/>
      <c r="B10" s="148"/>
      <c r="C10" s="26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hidden="1" thickBot="1" x14ac:dyDescent="0.3">
      <c r="A11" s="148"/>
      <c r="B11" s="148"/>
      <c r="C11" s="26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thickBot="1" x14ac:dyDescent="0.3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thickBot="1" x14ac:dyDescent="0.3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554.46</v>
      </c>
      <c r="D18" s="2">
        <v>117.54</v>
      </c>
      <c r="E18" s="2">
        <v>176.66</v>
      </c>
      <c r="F18" s="2">
        <v>259.58</v>
      </c>
      <c r="G18" s="2"/>
      <c r="H18" s="2"/>
      <c r="I18" s="2"/>
      <c r="J18" s="2"/>
    </row>
    <row r="20" spans="1:10" ht="12" customHeight="1" x14ac:dyDescent="0.25">
      <c r="D20" s="8" t="str">
        <f t="shared" ref="D20:F20" si="2">D4</f>
        <v>нить 3603</v>
      </c>
      <c r="E20" s="8" t="str">
        <f t="shared" si="2"/>
        <v>меланж 29,4 ч+б</v>
      </c>
      <c r="F20" s="8" t="str">
        <f t="shared" si="2"/>
        <v>900dne Турция</v>
      </c>
      <c r="G20" s="4">
        <f>G4</f>
        <v>0</v>
      </c>
      <c r="H20" s="4">
        <f t="shared" ref="H20:J20" si="3">H4</f>
        <v>0</v>
      </c>
      <c r="I20" s="4">
        <f t="shared" si="3"/>
        <v>0</v>
      </c>
      <c r="J20" s="4">
        <f t="shared" si="3"/>
        <v>0</v>
      </c>
    </row>
    <row r="21" spans="1:10" x14ac:dyDescent="0.25">
      <c r="A21" s="141" t="str">
        <f>A5</f>
        <v xml:space="preserve">Производство 6394 от 24.11.2025 </v>
      </c>
      <c r="B21" s="141"/>
      <c r="C21" s="22">
        <f>C5</f>
        <v>315.06</v>
      </c>
      <c r="D21">
        <f>ROUND(D5,3)</f>
        <v>66.790000000000006</v>
      </c>
      <c r="E21">
        <f t="shared" ref="E21:J33" si="4">ROUND(E5,3)</f>
        <v>100.383</v>
      </c>
      <c r="F21">
        <f t="shared" si="4"/>
        <v>147.501</v>
      </c>
      <c r="G21">
        <f t="shared" si="4"/>
        <v>0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ht="15.75" thickBot="1" x14ac:dyDescent="0.3">
      <c r="A22" s="141" t="str">
        <f t="shared" ref="A22:A33" si="5">A6</f>
        <v xml:space="preserve">Производство 6476 от 25.11.2025 </v>
      </c>
      <c r="B22" s="141"/>
      <c r="C22" s="22">
        <f t="shared" ref="C22:C33" si="6">C6</f>
        <v>239.4</v>
      </c>
      <c r="D22">
        <f t="shared" ref="D22:G33" si="7">ROUND(D6,3)</f>
        <v>50.75</v>
      </c>
      <c r="E22">
        <f t="shared" si="7"/>
        <v>76.277000000000001</v>
      </c>
      <c r="F22">
        <f t="shared" si="7"/>
        <v>112.07899999999999</v>
      </c>
      <c r="G22">
        <f t="shared" si="7"/>
        <v>0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ht="15.75" hidden="1" thickBot="1" x14ac:dyDescent="0.3">
      <c r="A23" s="141">
        <f t="shared" si="5"/>
        <v>0</v>
      </c>
      <c r="B23" s="141"/>
      <c r="C23" s="22">
        <f t="shared" si="6"/>
        <v>0</v>
      </c>
      <c r="D23">
        <f t="shared" si="7"/>
        <v>0</v>
      </c>
      <c r="E23">
        <f t="shared" si="7"/>
        <v>0</v>
      </c>
      <c r="F23">
        <f t="shared" si="7"/>
        <v>0</v>
      </c>
      <c r="G23">
        <f t="shared" si="7"/>
        <v>0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ht="15.75" hidden="1" thickBot="1" x14ac:dyDescent="0.3">
      <c r="A24" s="141">
        <f t="shared" si="5"/>
        <v>0</v>
      </c>
      <c r="B24" s="141"/>
      <c r="C24" s="22">
        <f t="shared" si="6"/>
        <v>0</v>
      </c>
      <c r="D24">
        <f t="shared" si="7"/>
        <v>0</v>
      </c>
      <c r="E24">
        <f t="shared" si="7"/>
        <v>0</v>
      </c>
      <c r="F24">
        <f t="shared" si="7"/>
        <v>0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ht="15.75" hidden="1" thickBot="1" x14ac:dyDescent="0.3">
      <c r="A25" s="141">
        <f t="shared" si="5"/>
        <v>0</v>
      </c>
      <c r="B25" s="141"/>
      <c r="C25" s="22">
        <f t="shared" si="6"/>
        <v>0</v>
      </c>
      <c r="D25">
        <f t="shared" si="7"/>
        <v>0</v>
      </c>
      <c r="E25">
        <f t="shared" si="7"/>
        <v>0</v>
      </c>
      <c r="F25">
        <f t="shared" si="7"/>
        <v>0</v>
      </c>
      <c r="G25">
        <f t="shared" si="7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t="15.75" hidden="1" thickBot="1" x14ac:dyDescent="0.3">
      <c r="A26" s="141">
        <f t="shared" si="5"/>
        <v>0</v>
      </c>
      <c r="B26" s="141"/>
      <c r="C26" s="22">
        <f t="shared" si="6"/>
        <v>0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t="15.75" hidden="1" thickBot="1" x14ac:dyDescent="0.3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t="15.75" hidden="1" thickBot="1" x14ac:dyDescent="0.3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t="15.75" hidden="1" thickBot="1" x14ac:dyDescent="0.3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t="15.75" hidden="1" thickBot="1" x14ac:dyDescent="0.3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t="15.75" hidden="1" thickBot="1" x14ac:dyDescent="0.3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t="15.75" hidden="1" thickBot="1" x14ac:dyDescent="0.3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554.46</v>
      </c>
      <c r="D34" s="2">
        <f>SUM(D21:D33)</f>
        <v>117.54</v>
      </c>
      <c r="E34" s="2">
        <f t="shared" ref="E34:J34" si="8">SUM(E21:E33)</f>
        <v>176.66</v>
      </c>
      <c r="F34" s="2">
        <f t="shared" si="8"/>
        <v>259.58</v>
      </c>
      <c r="G34" s="2">
        <f t="shared" si="8"/>
        <v>0</v>
      </c>
      <c r="H34" s="2">
        <f t="shared" si="8"/>
        <v>0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>нить 3603</v>
      </c>
      <c r="D38" s="33">
        <f>D18/C18</f>
        <v>0.21199004436749269</v>
      </c>
      <c r="E38" s="33">
        <v>0.23699999999999999</v>
      </c>
      <c r="F38" s="29">
        <f>D38/E38-1</f>
        <v>-0.10552723895572702</v>
      </c>
      <c r="G38" s="33"/>
      <c r="H38" s="33"/>
      <c r="I38" s="33"/>
      <c r="J38" s="33"/>
    </row>
    <row r="39" spans="1:10" x14ac:dyDescent="0.25">
      <c r="C39" t="str">
        <f>E4</f>
        <v>меланж 29,4 ч+б</v>
      </c>
      <c r="D39" s="33">
        <f>E18/C18</f>
        <v>0.31861631136601376</v>
      </c>
      <c r="E39" s="33">
        <v>0.22900000000000001</v>
      </c>
      <c r="F39" s="29">
        <f t="shared" ref="F39:F41" si="9">D39/E39-1</f>
        <v>0.39133760421840069</v>
      </c>
    </row>
    <row r="40" spans="1:10" x14ac:dyDescent="0.25">
      <c r="C40" t="str">
        <f>F4</f>
        <v>900dne Турция</v>
      </c>
      <c r="D40" s="33">
        <f>F18/C18</f>
        <v>0.46816722576921682</v>
      </c>
      <c r="E40" s="33">
        <v>0.436</v>
      </c>
      <c r="F40" s="29">
        <f t="shared" si="9"/>
        <v>7.377804075508454E-2</v>
      </c>
      <c r="G40" s="33"/>
      <c r="H40" s="33"/>
      <c r="I40" s="33"/>
      <c r="J40" s="33"/>
    </row>
    <row r="41" spans="1:10" hidden="1" x14ac:dyDescent="0.25">
      <c r="C41">
        <f>G4</f>
        <v>0</v>
      </c>
      <c r="D41" s="33">
        <f>G18/C18</f>
        <v>0</v>
      </c>
      <c r="E41" s="33">
        <v>8.7999999999999995E-2</v>
      </c>
      <c r="F41" s="29">
        <f t="shared" si="9"/>
        <v>-1</v>
      </c>
    </row>
  </sheetData>
  <mergeCells count="29">
    <mergeCell ref="A30:B30"/>
    <mergeCell ref="A31:B31"/>
    <mergeCell ref="A32:B32"/>
    <mergeCell ref="A33:B33"/>
    <mergeCell ref="A34:B34"/>
    <mergeCell ref="A28:B28"/>
    <mergeCell ref="A29:B29"/>
    <mergeCell ref="A16:B16"/>
    <mergeCell ref="A17:B17"/>
    <mergeCell ref="A18:B18"/>
    <mergeCell ref="A21:B21"/>
    <mergeCell ref="A22:B22"/>
    <mergeCell ref="A23:B23"/>
    <mergeCell ref="A24:B24"/>
    <mergeCell ref="A25:B25"/>
    <mergeCell ref="A26:B26"/>
    <mergeCell ref="A1:E1"/>
    <mergeCell ref="A7:B7"/>
    <mergeCell ref="A8:B8"/>
    <mergeCell ref="A9:B9"/>
    <mergeCell ref="A27:B27"/>
    <mergeCell ref="A5:B5"/>
    <mergeCell ref="A6:B6"/>
    <mergeCell ref="A10:B10"/>
    <mergeCell ref="A11:B11"/>
    <mergeCell ref="A12:B12"/>
    <mergeCell ref="A13:B13"/>
    <mergeCell ref="A14:B14"/>
    <mergeCell ref="A15:B15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workbookViewId="0">
      <selection activeCell="A2" sqref="A2"/>
    </sheetView>
  </sheetViews>
  <sheetFormatPr defaultRowHeight="15" x14ac:dyDescent="0.25"/>
  <cols>
    <col min="1" max="1" width="27.5703125" customWidth="1"/>
    <col min="3" max="3" width="13.7109375" customWidth="1"/>
    <col min="4" max="4" width="16.28515625" customWidth="1"/>
    <col min="5" max="5" width="15.28515625" customWidth="1"/>
    <col min="6" max="6" width="12.28515625" customWidth="1"/>
    <col min="7" max="7" width="15.85546875" hidden="1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137</v>
      </c>
      <c r="B1" s="138"/>
      <c r="C1" s="138"/>
      <c r="D1" s="138"/>
      <c r="E1" s="138"/>
    </row>
    <row r="2" spans="1:10" x14ac:dyDescent="0.25">
      <c r="A2" s="37" t="s">
        <v>138</v>
      </c>
      <c r="B2" s="36"/>
      <c r="C2" s="36"/>
      <c r="D2" s="36"/>
      <c r="E2" s="36"/>
    </row>
    <row r="4" spans="1:10" ht="30" x14ac:dyDescent="0.25">
      <c r="D4" s="38" t="s">
        <v>7</v>
      </c>
      <c r="E4" s="38" t="s">
        <v>143</v>
      </c>
      <c r="F4" s="38" t="s">
        <v>144</v>
      </c>
      <c r="G4" s="8"/>
      <c r="H4" s="4"/>
      <c r="I4" s="4"/>
      <c r="J4" s="4"/>
    </row>
    <row r="5" spans="1:10" ht="15" customHeight="1" x14ac:dyDescent="0.25">
      <c r="A5" s="152" t="s">
        <v>139</v>
      </c>
      <c r="B5" s="152"/>
      <c r="C5" s="42">
        <v>81.55</v>
      </c>
      <c r="D5">
        <f t="shared" ref="D5:J17" si="0">$C5/$C$18*D$18</f>
        <v>16.520151820433515</v>
      </c>
      <c r="E5">
        <f t="shared" si="0"/>
        <v>16.919942634206436</v>
      </c>
      <c r="F5">
        <f t="shared" si="0"/>
        <v>9.9387786989386679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52" t="s">
        <v>140</v>
      </c>
      <c r="B6" s="152"/>
      <c r="C6" s="42">
        <v>816.71</v>
      </c>
      <c r="D6">
        <f t="shared" si="0"/>
        <v>165.44663633680264</v>
      </c>
      <c r="E6">
        <f t="shared" si="0"/>
        <v>169.45047637992323</v>
      </c>
      <c r="F6">
        <f t="shared" si="0"/>
        <v>99.535253846844881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52" t="s">
        <v>141</v>
      </c>
      <c r="B7" s="152"/>
      <c r="C7" s="42">
        <v>566.16</v>
      </c>
      <c r="D7">
        <f t="shared" si="0"/>
        <v>114.69097675851181</v>
      </c>
      <c r="E7">
        <f t="shared" si="0"/>
        <v>117.46652019352932</v>
      </c>
      <c r="F7">
        <f t="shared" si="0"/>
        <v>68.999864478125275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thickBot="1" x14ac:dyDescent="0.3">
      <c r="A8" s="152" t="s">
        <v>142</v>
      </c>
      <c r="B8" s="152"/>
      <c r="C8" s="42">
        <v>94</v>
      </c>
      <c r="D8">
        <f t="shared" si="0"/>
        <v>19.042235084251995</v>
      </c>
      <c r="E8">
        <f t="shared" si="0"/>
        <v>19.503060792340957</v>
      </c>
      <c r="F8">
        <f t="shared" si="0"/>
        <v>11.456102976091168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idden="1" x14ac:dyDescent="0.25">
      <c r="A9" s="148"/>
      <c r="B9" s="148"/>
      <c r="C9" s="26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idden="1" x14ac:dyDescent="0.25">
      <c r="A10" s="148"/>
      <c r="B10" s="148"/>
      <c r="C10" s="26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idden="1" x14ac:dyDescent="0.25">
      <c r="A11" s="148"/>
      <c r="B11" s="148"/>
      <c r="C11" s="26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1558.42</v>
      </c>
      <c r="D18" s="2">
        <v>315.7</v>
      </c>
      <c r="E18" s="2">
        <v>323.33999999999997</v>
      </c>
      <c r="F18" s="2">
        <v>189.93</v>
      </c>
      <c r="G18" s="2"/>
      <c r="H18" s="2"/>
      <c r="I18" s="2"/>
      <c r="J18" s="2"/>
    </row>
    <row r="20" spans="1:10" ht="12" customHeight="1" x14ac:dyDescent="0.25">
      <c r="D20" s="8" t="str">
        <f t="shared" ref="D20:F20" si="2">D4</f>
        <v>600dne</v>
      </c>
      <c r="E20" s="8" t="str">
        <f t="shared" si="2"/>
        <v>150dne суровая</v>
      </c>
      <c r="F20" s="8" t="str">
        <f t="shared" si="2"/>
        <v>150dne №246 grey</v>
      </c>
      <c r="G20" s="4">
        <f>G4</f>
        <v>0</v>
      </c>
      <c r="H20" s="4">
        <f t="shared" ref="H20:J20" si="3">H4</f>
        <v>0</v>
      </c>
      <c r="I20" s="4">
        <f t="shared" si="3"/>
        <v>0</v>
      </c>
      <c r="J20" s="4">
        <f t="shared" si="3"/>
        <v>0</v>
      </c>
    </row>
    <row r="21" spans="1:10" x14ac:dyDescent="0.25">
      <c r="A21" s="141" t="str">
        <f>A5</f>
        <v xml:space="preserve">Производство 6632 от 26.11.2025 </v>
      </c>
      <c r="B21" s="141"/>
      <c r="C21" s="22">
        <f>C5</f>
        <v>81.55</v>
      </c>
      <c r="D21">
        <f>ROUND(D5,3)</f>
        <v>16.52</v>
      </c>
      <c r="E21">
        <f t="shared" ref="E21:J33" si="4">ROUND(E5,3)</f>
        <v>16.920000000000002</v>
      </c>
      <c r="F21">
        <f t="shared" si="4"/>
        <v>9.9390000000000001</v>
      </c>
      <c r="G21">
        <f t="shared" si="4"/>
        <v>0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ref="A22:A33" si="5">A6</f>
        <v xml:space="preserve">Производство 6643 от 27.11.2025 </v>
      </c>
      <c r="B22" s="141"/>
      <c r="C22" s="22">
        <f t="shared" ref="C22:C33" si="6">C6</f>
        <v>816.71</v>
      </c>
      <c r="D22">
        <f t="shared" ref="D22:G33" si="7">ROUND(D6,3)</f>
        <v>165.447</v>
      </c>
      <c r="E22">
        <f t="shared" si="7"/>
        <v>169.45</v>
      </c>
      <c r="F22">
        <f t="shared" si="7"/>
        <v>99.534999999999997</v>
      </c>
      <c r="G22">
        <f t="shared" si="7"/>
        <v>0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x14ac:dyDescent="0.25">
      <c r="A23" s="141" t="str">
        <f t="shared" si="5"/>
        <v xml:space="preserve">Производство 6739 от 28.11.2025 </v>
      </c>
      <c r="B23" s="141"/>
      <c r="C23" s="22">
        <f t="shared" si="6"/>
        <v>566.16</v>
      </c>
      <c r="D23">
        <f t="shared" si="7"/>
        <v>114.691</v>
      </c>
      <c r="E23">
        <f t="shared" si="7"/>
        <v>117.467</v>
      </c>
      <c r="F23">
        <f t="shared" si="7"/>
        <v>69</v>
      </c>
      <c r="G23">
        <f t="shared" si="7"/>
        <v>0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ht="15.75" thickBot="1" x14ac:dyDescent="0.3">
      <c r="A24" s="141" t="str">
        <f t="shared" si="5"/>
        <v xml:space="preserve">Производство 6777 от 01.12.2025 </v>
      </c>
      <c r="B24" s="141"/>
      <c r="C24" s="22">
        <f t="shared" si="6"/>
        <v>94</v>
      </c>
      <c r="D24">
        <f t="shared" si="7"/>
        <v>19.042000000000002</v>
      </c>
      <c r="E24">
        <f t="shared" si="7"/>
        <v>19.503</v>
      </c>
      <c r="F24">
        <f t="shared" si="7"/>
        <v>11.456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hidden="1" x14ac:dyDescent="0.25">
      <c r="A25" s="141">
        <f t="shared" si="5"/>
        <v>0</v>
      </c>
      <c r="B25" s="141"/>
      <c r="C25" s="22">
        <f t="shared" si="6"/>
        <v>0</v>
      </c>
      <c r="D25">
        <f t="shared" si="7"/>
        <v>0</v>
      </c>
      <c r="E25">
        <f t="shared" si="7"/>
        <v>0</v>
      </c>
      <c r="F25">
        <f t="shared" si="7"/>
        <v>0</v>
      </c>
      <c r="G25">
        <f t="shared" si="7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idden="1" x14ac:dyDescent="0.25">
      <c r="A26" s="141">
        <f t="shared" si="5"/>
        <v>0</v>
      </c>
      <c r="B26" s="141"/>
      <c r="C26" s="22">
        <f t="shared" si="6"/>
        <v>0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idden="1" x14ac:dyDescent="0.25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idden="1" x14ac:dyDescent="0.25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idden="1" x14ac:dyDescent="0.25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idden="1" x14ac:dyDescent="0.25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idden="1" x14ac:dyDescent="0.25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idden="1" x14ac:dyDescent="0.25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1558.42</v>
      </c>
      <c r="D34" s="2">
        <f>SUM(D21:D33)</f>
        <v>315.70000000000005</v>
      </c>
      <c r="E34" s="2">
        <f t="shared" ref="E34:J34" si="8">SUM(E21:E33)</f>
        <v>323.33999999999997</v>
      </c>
      <c r="F34" s="2">
        <f t="shared" si="8"/>
        <v>189.92999999999998</v>
      </c>
      <c r="G34" s="2">
        <f t="shared" si="8"/>
        <v>0</v>
      </c>
      <c r="H34" s="2">
        <f t="shared" si="8"/>
        <v>0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>600dne</v>
      </c>
      <c r="D38" s="36">
        <f>D18/C18</f>
        <v>0.20257696898140423</v>
      </c>
      <c r="E38" s="36">
        <v>0.187</v>
      </c>
      <c r="F38" s="29">
        <f>D38/E38-1</f>
        <v>8.3299299365797941E-2</v>
      </c>
      <c r="G38" s="36"/>
      <c r="H38" s="36"/>
      <c r="I38" s="36"/>
      <c r="J38" s="36"/>
    </row>
    <row r="39" spans="1:10" x14ac:dyDescent="0.25">
      <c r="C39" t="str">
        <f>E4</f>
        <v>150dne суровая</v>
      </c>
      <c r="D39" s="36">
        <f>E18/C18</f>
        <v>0.20747937013128678</v>
      </c>
      <c r="E39" s="36">
        <v>0.20499999999999999</v>
      </c>
      <c r="F39" s="29">
        <f t="shared" ref="F39:F41" si="9">D39/E39-1</f>
        <v>1.2094488445301366E-2</v>
      </c>
    </row>
    <row r="40" spans="1:10" x14ac:dyDescent="0.25">
      <c r="C40" t="str">
        <f>F4</f>
        <v>150dne №246 grey</v>
      </c>
      <c r="D40" s="36">
        <f>F18/C18</f>
        <v>0.1218734359158635</v>
      </c>
      <c r="E40" s="36">
        <v>0.11700000000000001</v>
      </c>
      <c r="F40" s="29">
        <f t="shared" si="9"/>
        <v>4.1653298426183705E-2</v>
      </c>
      <c r="G40" s="36"/>
      <c r="H40" s="36"/>
      <c r="I40" s="36"/>
      <c r="J40" s="36"/>
    </row>
    <row r="41" spans="1:10" hidden="1" x14ac:dyDescent="0.25">
      <c r="C41">
        <f>G4</f>
        <v>0</v>
      </c>
      <c r="D41" s="36">
        <f>G18/C18</f>
        <v>0</v>
      </c>
      <c r="E41" s="36">
        <v>8.7999999999999995E-2</v>
      </c>
      <c r="F41" s="29">
        <f t="shared" si="9"/>
        <v>-1</v>
      </c>
    </row>
  </sheetData>
  <mergeCells count="29">
    <mergeCell ref="A15:B15"/>
    <mergeCell ref="A1:E1"/>
    <mergeCell ref="A9:B9"/>
    <mergeCell ref="A25:B25"/>
    <mergeCell ref="A26:B26"/>
    <mergeCell ref="A12:B12"/>
    <mergeCell ref="A13:B13"/>
    <mergeCell ref="A14:B14"/>
    <mergeCell ref="A27:B27"/>
    <mergeCell ref="A28:B28"/>
    <mergeCell ref="A29:B29"/>
    <mergeCell ref="A5:B5"/>
    <mergeCell ref="A6:B6"/>
    <mergeCell ref="A7:B7"/>
    <mergeCell ref="A8:B8"/>
    <mergeCell ref="A24:B24"/>
    <mergeCell ref="A16:B16"/>
    <mergeCell ref="A17:B17"/>
    <mergeCell ref="A18:B18"/>
    <mergeCell ref="A21:B21"/>
    <mergeCell ref="A22:B22"/>
    <mergeCell ref="A23:B23"/>
    <mergeCell ref="A10:B10"/>
    <mergeCell ref="A11:B11"/>
    <mergeCell ref="A30:B30"/>
    <mergeCell ref="A31:B31"/>
    <mergeCell ref="A32:B32"/>
    <mergeCell ref="A33:B33"/>
    <mergeCell ref="A34:B34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2"/>
  <sheetViews>
    <sheetView workbookViewId="0">
      <selection activeCell="D42" sqref="D42"/>
    </sheetView>
  </sheetViews>
  <sheetFormatPr defaultRowHeight="15" x14ac:dyDescent="0.25"/>
  <cols>
    <col min="1" max="1" width="27.5703125" customWidth="1"/>
    <col min="3" max="3" width="13.7109375" customWidth="1"/>
    <col min="4" max="4" width="16.28515625" customWidth="1"/>
    <col min="5" max="5" width="15.28515625" customWidth="1"/>
    <col min="6" max="6" width="12.28515625" customWidth="1"/>
    <col min="7" max="7" width="17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180</v>
      </c>
      <c r="B1" s="138"/>
      <c r="C1" s="138"/>
      <c r="D1" s="138"/>
      <c r="E1" s="138"/>
    </row>
    <row r="2" spans="1:10" x14ac:dyDescent="0.25">
      <c r="A2" s="37"/>
      <c r="B2" s="43"/>
      <c r="C2" s="43"/>
      <c r="D2" s="43"/>
      <c r="E2" s="43"/>
    </row>
    <row r="3" spans="1:10" x14ac:dyDescent="0.25">
      <c r="A3" s="37" t="s">
        <v>181</v>
      </c>
    </row>
    <row r="4" spans="1:10" ht="60" x14ac:dyDescent="0.25">
      <c r="D4" s="38" t="s">
        <v>149</v>
      </c>
      <c r="E4" s="38" t="s">
        <v>182</v>
      </c>
      <c r="F4" s="38" t="s">
        <v>59</v>
      </c>
      <c r="G4" s="8" t="s">
        <v>183</v>
      </c>
      <c r="H4" s="4"/>
      <c r="I4" s="4"/>
      <c r="J4" s="4"/>
    </row>
    <row r="5" spans="1:10" ht="15" customHeight="1" x14ac:dyDescent="0.25">
      <c r="A5" s="154" t="s">
        <v>184</v>
      </c>
      <c r="B5" s="154"/>
      <c r="C5" s="49">
        <v>122.56</v>
      </c>
      <c r="D5">
        <f t="shared" ref="D5:J17" si="0">$C5/$C$18*D$18</f>
        <v>10.403347547009245</v>
      </c>
      <c r="E5">
        <f t="shared" si="0"/>
        <v>30.418917768905548</v>
      </c>
      <c r="F5">
        <f t="shared" si="0"/>
        <v>22.878266112604908</v>
      </c>
      <c r="G5">
        <f t="shared" si="0"/>
        <v>14.228042405642015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54" t="s">
        <v>185</v>
      </c>
      <c r="B6" s="154"/>
      <c r="C6" s="49">
        <v>194.87</v>
      </c>
      <c r="D6">
        <f t="shared" si="0"/>
        <v>16.54128864626054</v>
      </c>
      <c r="E6">
        <f t="shared" si="0"/>
        <v>48.365979974107574</v>
      </c>
      <c r="F6">
        <f t="shared" si="0"/>
        <v>36.376368451071464</v>
      </c>
      <c r="G6">
        <f t="shared" si="0"/>
        <v>22.622540988801074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54" t="s">
        <v>186</v>
      </c>
      <c r="B7" s="154"/>
      <c r="C7" s="49">
        <v>259.61</v>
      </c>
      <c r="D7">
        <f t="shared" si="0"/>
        <v>22.036660057760038</v>
      </c>
      <c r="E7">
        <f t="shared" si="0"/>
        <v>64.434197470508892</v>
      </c>
      <c r="F7">
        <f t="shared" si="0"/>
        <v>48.461379450827025</v>
      </c>
      <c r="G7">
        <f t="shared" si="0"/>
        <v>30.138235059797026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x14ac:dyDescent="0.25">
      <c r="A8" s="154" t="s">
        <v>187</v>
      </c>
      <c r="B8" s="154"/>
      <c r="C8" s="49">
        <v>251.42</v>
      </c>
      <c r="D8">
        <f t="shared" si="0"/>
        <v>21.341462469558291</v>
      </c>
      <c r="E8">
        <f t="shared" si="0"/>
        <v>62.401471160723176</v>
      </c>
      <c r="F8">
        <f t="shared" si="0"/>
        <v>46.932552758086857</v>
      </c>
      <c r="G8">
        <f t="shared" si="0"/>
        <v>29.18745448455055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.75" thickBot="1" x14ac:dyDescent="0.3">
      <c r="A9" s="154" t="s">
        <v>188</v>
      </c>
      <c r="B9" s="154"/>
      <c r="C9" s="49">
        <v>276.11</v>
      </c>
      <c r="D9">
        <f t="shared" si="0"/>
        <v>23.4372412794119</v>
      </c>
      <c r="E9">
        <f t="shared" si="0"/>
        <v>68.52943362575482</v>
      </c>
      <c r="F9">
        <f t="shared" si="0"/>
        <v>51.541433227409762</v>
      </c>
      <c r="G9">
        <f t="shared" si="0"/>
        <v>32.053727061209337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idden="1" x14ac:dyDescent="0.25">
      <c r="A10" s="148"/>
      <c r="B10" s="148"/>
      <c r="C10" s="26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idden="1" x14ac:dyDescent="0.25">
      <c r="A11" s="148"/>
      <c r="B11" s="148"/>
      <c r="C11" s="26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1104.57</v>
      </c>
      <c r="D18" s="2">
        <v>93.76</v>
      </c>
      <c r="E18" s="2">
        <v>274.14999999999998</v>
      </c>
      <c r="F18" s="2">
        <v>206.19</v>
      </c>
      <c r="G18" s="2">
        <v>128.22999999999999</v>
      </c>
      <c r="H18" s="2"/>
      <c r="I18" s="2"/>
      <c r="J18" s="2"/>
    </row>
    <row r="20" spans="1:10" s="47" customFormat="1" ht="27" customHeight="1" x14ac:dyDescent="0.25">
      <c r="D20" s="38" t="str">
        <f t="shared" ref="D20:F20" si="2">D4</f>
        <v>150dne суровая Турция</v>
      </c>
      <c r="E20" s="38" t="str">
        <f t="shared" si="2"/>
        <v>300dne Турция</v>
      </c>
      <c r="F20" s="38" t="str">
        <f t="shared" si="2"/>
        <v>пряжа 20 текс</v>
      </c>
      <c r="G20" s="38" t="str">
        <f>G4</f>
        <v>Нить п/э 150D/48 F No 130 light beige / св.бежевый</v>
      </c>
      <c r="H20" s="48">
        <f t="shared" ref="H20:J20" si="3">H4</f>
        <v>0</v>
      </c>
      <c r="I20" s="48">
        <f t="shared" si="3"/>
        <v>0</v>
      </c>
      <c r="J20" s="48">
        <f t="shared" si="3"/>
        <v>0</v>
      </c>
    </row>
    <row r="21" spans="1:10" x14ac:dyDescent="0.25">
      <c r="A21" s="141" t="str">
        <f>A5</f>
        <v xml:space="preserve">Производство 7104 от 09.12.2025 </v>
      </c>
      <c r="B21" s="141"/>
      <c r="C21" s="22">
        <f>C5</f>
        <v>122.56</v>
      </c>
      <c r="D21">
        <f>ROUND(D5,3)</f>
        <v>10.403</v>
      </c>
      <c r="E21">
        <f t="shared" ref="E21:J33" si="4">ROUND(E5,3)</f>
        <v>30.419</v>
      </c>
      <c r="F21">
        <f t="shared" si="4"/>
        <v>22.878</v>
      </c>
      <c r="G21">
        <f t="shared" si="4"/>
        <v>14.228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ref="A22:A33" si="5">A6</f>
        <v xml:space="preserve">Производство 7144 от 10.12.2025 </v>
      </c>
      <c r="B22" s="141"/>
      <c r="C22" s="22">
        <f t="shared" ref="C22:C33" si="6">C6</f>
        <v>194.87</v>
      </c>
      <c r="D22">
        <f t="shared" ref="D22:G33" si="7">ROUND(D6,3)</f>
        <v>16.541</v>
      </c>
      <c r="E22">
        <f t="shared" si="7"/>
        <v>48.366</v>
      </c>
      <c r="F22">
        <f t="shared" si="7"/>
        <v>36.375999999999998</v>
      </c>
      <c r="G22">
        <f t="shared" si="7"/>
        <v>22.623000000000001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x14ac:dyDescent="0.25">
      <c r="A23" s="141" t="str">
        <f t="shared" si="5"/>
        <v xml:space="preserve">Производство 7190 от 11.12.2025 </v>
      </c>
      <c r="B23" s="141"/>
      <c r="C23" s="22">
        <f t="shared" si="6"/>
        <v>259.61</v>
      </c>
      <c r="D23">
        <f t="shared" si="7"/>
        <v>22.036999999999999</v>
      </c>
      <c r="E23">
        <f t="shared" si="7"/>
        <v>64.433999999999997</v>
      </c>
      <c r="F23">
        <f t="shared" si="7"/>
        <v>48.460999999999999</v>
      </c>
      <c r="G23">
        <f t="shared" si="7"/>
        <v>30.138000000000002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x14ac:dyDescent="0.25">
      <c r="A24" s="141" t="str">
        <f t="shared" si="5"/>
        <v xml:space="preserve">Производство 7202 от 12.12.2025 </v>
      </c>
      <c r="B24" s="141"/>
      <c r="C24" s="22">
        <f t="shared" si="6"/>
        <v>251.42</v>
      </c>
      <c r="D24">
        <f t="shared" si="7"/>
        <v>21.341000000000001</v>
      </c>
      <c r="E24">
        <f t="shared" si="7"/>
        <v>62.401000000000003</v>
      </c>
      <c r="F24">
        <f t="shared" si="7"/>
        <v>46.933</v>
      </c>
      <c r="G24">
        <f t="shared" si="7"/>
        <v>29.187000000000001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ht="15.75" thickBot="1" x14ac:dyDescent="0.3">
      <c r="A25" s="141" t="str">
        <f t="shared" si="5"/>
        <v xml:space="preserve">Производство 7209 от 13.12.2025 </v>
      </c>
      <c r="B25" s="141"/>
      <c r="C25" s="22">
        <f t="shared" si="6"/>
        <v>276.11</v>
      </c>
      <c r="D25">
        <f t="shared" si="7"/>
        <v>23.437000000000001</v>
      </c>
      <c r="E25">
        <f t="shared" si="7"/>
        <v>68.528999999999996</v>
      </c>
      <c r="F25">
        <f t="shared" si="7"/>
        <v>51.540999999999997</v>
      </c>
      <c r="G25">
        <f t="shared" si="7"/>
        <v>32.054000000000002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idden="1" x14ac:dyDescent="0.25">
      <c r="A26" s="141">
        <f t="shared" si="5"/>
        <v>0</v>
      </c>
      <c r="B26" s="141"/>
      <c r="C26" s="22">
        <f t="shared" si="6"/>
        <v>0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idden="1" x14ac:dyDescent="0.25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idden="1" x14ac:dyDescent="0.25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idden="1" x14ac:dyDescent="0.25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idden="1" x14ac:dyDescent="0.25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idden="1" x14ac:dyDescent="0.25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idden="1" x14ac:dyDescent="0.25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1104.57</v>
      </c>
      <c r="D34" s="2">
        <f>SUM(D21:D33)</f>
        <v>93.759</v>
      </c>
      <c r="E34" s="2">
        <f t="shared" ref="E34:J34" si="8">SUM(E21:E33)</f>
        <v>274.149</v>
      </c>
      <c r="F34" s="2">
        <f t="shared" si="8"/>
        <v>206.18899999999999</v>
      </c>
      <c r="G34" s="2">
        <f t="shared" si="8"/>
        <v>128.23000000000002</v>
      </c>
      <c r="H34" s="2">
        <f t="shared" si="8"/>
        <v>0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>150dne суровая Турция</v>
      </c>
      <c r="D38" s="43">
        <f>D18/C18</f>
        <v>8.4883710403143312E-2</v>
      </c>
      <c r="E38" s="43">
        <v>0.10199999999999999</v>
      </c>
      <c r="F38" s="29">
        <f>D38/E38-1</f>
        <v>-0.16780676075349688</v>
      </c>
      <c r="G38" s="43"/>
      <c r="H38" s="43"/>
      <c r="I38" s="43"/>
      <c r="J38" s="43"/>
    </row>
    <row r="39" spans="1:10" x14ac:dyDescent="0.25">
      <c r="C39" t="str">
        <f>E4</f>
        <v>300dne Турция</v>
      </c>
      <c r="D39" s="43">
        <f>E18/C18</f>
        <v>0.24819613062096563</v>
      </c>
      <c r="E39" s="43">
        <v>0.26400000000000001</v>
      </c>
      <c r="F39" s="29">
        <f t="shared" ref="F39:F42" si="9">D39/E39-1</f>
        <v>-5.9863141587251478E-2</v>
      </c>
    </row>
    <row r="40" spans="1:10" x14ac:dyDescent="0.25">
      <c r="C40" t="str">
        <f>F4</f>
        <v>пряжа 20 текс</v>
      </c>
      <c r="D40" s="43">
        <f>F18/C18</f>
        <v>0.18666992585349956</v>
      </c>
      <c r="E40" s="43">
        <v>0.218</v>
      </c>
      <c r="F40" s="29">
        <f t="shared" si="9"/>
        <v>-0.14371593645183689</v>
      </c>
      <c r="G40" s="43"/>
      <c r="H40" s="43"/>
      <c r="I40" s="43"/>
      <c r="J40" s="43"/>
    </row>
    <row r="41" spans="1:10" hidden="1" x14ac:dyDescent="0.25">
      <c r="C41" t="str">
        <f>G4</f>
        <v>Нить п/э 150D/48 F No 130 light beige / св.бежевый</v>
      </c>
      <c r="D41" s="43">
        <f>G18/C18</f>
        <v>0.11609042432801904</v>
      </c>
      <c r="E41" s="43">
        <v>8.7999999999999995E-2</v>
      </c>
      <c r="F41" s="29">
        <f t="shared" si="9"/>
        <v>0.31920936736385275</v>
      </c>
    </row>
    <row r="42" spans="1:10" x14ac:dyDescent="0.25">
      <c r="C42" t="str">
        <f>G4</f>
        <v>Нить п/э 150D/48 F No 130 light beige / св.бежевый</v>
      </c>
      <c r="D42" s="43">
        <f>G18/C18</f>
        <v>0.11609042432801904</v>
      </c>
      <c r="E42" s="43">
        <v>8.5999999999999993E-2</v>
      </c>
      <c r="F42" s="50">
        <f t="shared" si="9"/>
        <v>0.34988865497696575</v>
      </c>
    </row>
  </sheetData>
  <mergeCells count="29">
    <mergeCell ref="A15:B15"/>
    <mergeCell ref="A1:E1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29:B29"/>
    <mergeCell ref="A16:B16"/>
    <mergeCell ref="A17:B17"/>
    <mergeCell ref="A18:B18"/>
    <mergeCell ref="A21:B21"/>
    <mergeCell ref="A22:B22"/>
    <mergeCell ref="A23:B23"/>
    <mergeCell ref="A24:B24"/>
    <mergeCell ref="A25:B25"/>
    <mergeCell ref="A26:B26"/>
    <mergeCell ref="A27:B27"/>
    <mergeCell ref="A28:B28"/>
    <mergeCell ref="A30:B30"/>
    <mergeCell ref="A31:B31"/>
    <mergeCell ref="A32:B32"/>
    <mergeCell ref="A33:B33"/>
    <mergeCell ref="A34:B34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4"/>
  <sheetViews>
    <sheetView topLeftCell="A31" workbookViewId="0">
      <selection activeCell="O62" sqref="O62"/>
    </sheetView>
  </sheetViews>
  <sheetFormatPr defaultRowHeight="15" x14ac:dyDescent="0.25"/>
  <cols>
    <col min="1" max="1" width="27.5703125" customWidth="1"/>
    <col min="3" max="3" width="13.7109375" customWidth="1"/>
    <col min="4" max="4" width="16.28515625" customWidth="1"/>
    <col min="5" max="5" width="15.28515625" customWidth="1"/>
    <col min="6" max="6" width="12.28515625" customWidth="1"/>
    <col min="7" max="7" width="17" hidden="1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277</v>
      </c>
      <c r="B1" s="138"/>
      <c r="C1" s="138"/>
      <c r="D1" s="138"/>
      <c r="E1" s="138"/>
    </row>
    <row r="2" spans="1:10" x14ac:dyDescent="0.25">
      <c r="A2" s="37"/>
      <c r="B2" s="64"/>
      <c r="C2" s="64"/>
      <c r="D2" s="64"/>
      <c r="E2" s="64"/>
    </row>
    <row r="3" spans="1:10" x14ac:dyDescent="0.25">
      <c r="A3" s="37" t="s">
        <v>278</v>
      </c>
      <c r="C3" t="s">
        <v>279</v>
      </c>
    </row>
    <row r="4" spans="1:10" ht="30" x14ac:dyDescent="0.25">
      <c r="D4" s="38" t="s">
        <v>215</v>
      </c>
      <c r="E4" s="38" t="s">
        <v>59</v>
      </c>
      <c r="F4" s="38" t="s">
        <v>134</v>
      </c>
      <c r="G4" s="8"/>
      <c r="H4" s="4"/>
      <c r="I4" s="4"/>
      <c r="J4" s="4"/>
    </row>
    <row r="5" spans="1:10" ht="15" customHeight="1" x14ac:dyDescent="0.25">
      <c r="A5" s="157" t="s">
        <v>280</v>
      </c>
      <c r="B5" s="157"/>
      <c r="C5" s="72">
        <v>216.17</v>
      </c>
      <c r="D5">
        <f t="shared" ref="D5:J6" si="0">$C5/$C$29*D$29</f>
        <v>39.822085179527512</v>
      </c>
      <c r="E5">
        <f t="shared" si="0"/>
        <v>24.905625818070277</v>
      </c>
      <c r="F5">
        <f t="shared" si="0"/>
        <v>68.099776816761363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57" t="s">
        <v>281</v>
      </c>
      <c r="B6" s="157"/>
      <c r="C6" s="72">
        <v>423.67</v>
      </c>
      <c r="D6">
        <f t="shared" si="0"/>
        <v>78.047013128604462</v>
      </c>
      <c r="E6">
        <f t="shared" si="0"/>
        <v>48.812353658425486</v>
      </c>
      <c r="F6">
        <f t="shared" si="0"/>
        <v>133.46825389257202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57" t="s">
        <v>282</v>
      </c>
      <c r="B7" s="157"/>
      <c r="C7" s="72">
        <v>289.19</v>
      </c>
      <c r="D7">
        <f t="shared" ref="D7:G25" si="1">$C7/$C$29*D$29</f>
        <v>53.273575487197867</v>
      </c>
      <c r="E7">
        <f t="shared" si="1"/>
        <v>33.318489754950939</v>
      </c>
      <c r="F7">
        <f t="shared" si="1"/>
        <v>91.103180171343013</v>
      </c>
      <c r="G7">
        <f t="shared" si="1"/>
        <v>0</v>
      </c>
    </row>
    <row r="8" spans="1:10" ht="15" customHeight="1" x14ac:dyDescent="0.25">
      <c r="A8" s="157" t="s">
        <v>283</v>
      </c>
      <c r="B8" s="157"/>
      <c r="C8" s="72">
        <v>363.95</v>
      </c>
      <c r="D8">
        <f t="shared" si="1"/>
        <v>67.045602540079756</v>
      </c>
      <c r="E8">
        <f t="shared" si="1"/>
        <v>41.931824566251926</v>
      </c>
      <c r="F8">
        <f t="shared" si="1"/>
        <v>114.65473364694591</v>
      </c>
      <c r="G8">
        <f t="shared" si="1"/>
        <v>0</v>
      </c>
    </row>
    <row r="9" spans="1:10" ht="15" customHeight="1" x14ac:dyDescent="0.25">
      <c r="A9" s="157" t="s">
        <v>284</v>
      </c>
      <c r="B9" s="157"/>
      <c r="C9" s="72">
        <v>290.57</v>
      </c>
      <c r="D9">
        <f t="shared" si="1"/>
        <v>53.527794285124259</v>
      </c>
      <c r="E9">
        <f t="shared" si="1"/>
        <v>33.477483896732579</v>
      </c>
      <c r="F9">
        <f t="shared" si="1"/>
        <v>91.537919922497807</v>
      </c>
      <c r="G9">
        <f t="shared" si="1"/>
        <v>0</v>
      </c>
    </row>
    <row r="10" spans="1:10" ht="15" customHeight="1" x14ac:dyDescent="0.25">
      <c r="A10" s="157" t="s">
        <v>285</v>
      </c>
      <c r="B10" s="157"/>
      <c r="C10" s="72">
        <v>287.05</v>
      </c>
      <c r="D10">
        <f t="shared" si="1"/>
        <v>52.879352133891729</v>
      </c>
      <c r="E10">
        <f t="shared" si="1"/>
        <v>33.071933622043183</v>
      </c>
      <c r="F10">
        <f t="shared" si="1"/>
        <v>90.429018528247909</v>
      </c>
      <c r="G10">
        <f t="shared" si="1"/>
        <v>0</v>
      </c>
    </row>
    <row r="11" spans="1:10" ht="15" customHeight="1" x14ac:dyDescent="0.25">
      <c r="A11" s="157" t="s">
        <v>286</v>
      </c>
      <c r="B11" s="157"/>
      <c r="C11" s="72">
        <v>355.49</v>
      </c>
      <c r="D11">
        <f t="shared" si="1"/>
        <v>65.487130778878836</v>
      </c>
      <c r="E11">
        <f t="shared" si="1"/>
        <v>40.957121349242747</v>
      </c>
      <c r="F11">
        <f t="shared" si="1"/>
        <v>111.98958995508396</v>
      </c>
      <c r="G11">
        <f t="shared" si="1"/>
        <v>0</v>
      </c>
    </row>
    <row r="12" spans="1:10" ht="15" customHeight="1" x14ac:dyDescent="0.25">
      <c r="A12" s="157" t="s">
        <v>287</v>
      </c>
      <c r="B12" s="157"/>
      <c r="C12" s="72">
        <v>213.39</v>
      </c>
      <c r="D12">
        <f t="shared" si="1"/>
        <v>39.309963253270006</v>
      </c>
      <c r="E12">
        <f t="shared" si="1"/>
        <v>24.585333271582627</v>
      </c>
      <c r="F12">
        <f t="shared" si="1"/>
        <v>67.223996738348092</v>
      </c>
      <c r="G12">
        <f t="shared" si="1"/>
        <v>0</v>
      </c>
    </row>
    <row r="13" spans="1:10" ht="15" customHeight="1" x14ac:dyDescent="0.25">
      <c r="A13" s="157" t="s">
        <v>288</v>
      </c>
      <c r="B13" s="157"/>
      <c r="C13" s="72">
        <v>232.64</v>
      </c>
      <c r="D13">
        <f t="shared" si="1"/>
        <v>42.856131267822924</v>
      </c>
      <c r="E13">
        <f t="shared" si="1"/>
        <v>26.803186336290281</v>
      </c>
      <c r="F13">
        <f t="shared" si="1"/>
        <v>73.288301238152201</v>
      </c>
      <c r="G13">
        <f t="shared" si="1"/>
        <v>0</v>
      </c>
    </row>
    <row r="14" spans="1:10" ht="15" customHeight="1" x14ac:dyDescent="0.25">
      <c r="A14" s="157" t="s">
        <v>289</v>
      </c>
      <c r="B14" s="157"/>
      <c r="C14" s="72">
        <v>142.32</v>
      </c>
      <c r="D14">
        <f t="shared" si="1"/>
        <v>26.21769516006086</v>
      </c>
      <c r="E14">
        <f t="shared" si="1"/>
        <v>16.397134969828201</v>
      </c>
      <c r="F14">
        <f t="shared" si="1"/>
        <v>44.834899553876475</v>
      </c>
      <c r="G14">
        <f t="shared" si="1"/>
        <v>0</v>
      </c>
    </row>
    <row r="15" spans="1:10" ht="15" customHeight="1" x14ac:dyDescent="0.25">
      <c r="A15" s="157" t="s">
        <v>290</v>
      </c>
      <c r="B15" s="157"/>
      <c r="C15" s="72">
        <v>212.8</v>
      </c>
      <c r="D15">
        <f t="shared" si="1"/>
        <v>39.201275506330468</v>
      </c>
      <c r="E15">
        <f t="shared" si="1"/>
        <v>24.517357515313673</v>
      </c>
      <c r="F15">
        <f t="shared" si="1"/>
        <v>67.038129743289176</v>
      </c>
      <c r="G15">
        <f t="shared" si="1"/>
        <v>0</v>
      </c>
    </row>
    <row r="16" spans="1:10" ht="15" customHeight="1" x14ac:dyDescent="0.25">
      <c r="A16" s="157" t="s">
        <v>291</v>
      </c>
      <c r="B16" s="157"/>
      <c r="C16" s="72">
        <v>143.02000000000001</v>
      </c>
      <c r="D16">
        <f t="shared" si="1"/>
        <v>26.346646724226424</v>
      </c>
      <c r="E16">
        <f t="shared" si="1"/>
        <v>16.477784172181209</v>
      </c>
      <c r="F16">
        <f t="shared" si="1"/>
        <v>45.055419717505714</v>
      </c>
      <c r="G16">
        <f t="shared" si="1"/>
        <v>0</v>
      </c>
    </row>
    <row r="17" spans="1:10" ht="15" customHeight="1" x14ac:dyDescent="0.25">
      <c r="A17" s="157" t="s">
        <v>292</v>
      </c>
      <c r="B17" s="157"/>
      <c r="C17" s="72">
        <v>211.01</v>
      </c>
      <c r="D17">
        <f t="shared" si="1"/>
        <v>38.871527935107096</v>
      </c>
      <c r="E17">
        <f t="shared" si="1"/>
        <v>24.311125983582407</v>
      </c>
      <c r="F17">
        <f t="shared" si="1"/>
        <v>66.474228182008673</v>
      </c>
      <c r="G17">
        <f t="shared" si="1"/>
        <v>0</v>
      </c>
      <c r="H17">
        <f t="shared" ref="H17:J25" si="2">$C17/$C$29*H$29</f>
        <v>0</v>
      </c>
      <c r="I17">
        <f t="shared" si="2"/>
        <v>0</v>
      </c>
      <c r="J17">
        <f t="shared" si="2"/>
        <v>0</v>
      </c>
    </row>
    <row r="18" spans="1:10" ht="15" customHeight="1" x14ac:dyDescent="0.25">
      <c r="A18" s="157" t="s">
        <v>293</v>
      </c>
      <c r="B18" s="157"/>
      <c r="C18" s="72">
        <v>284.77999999999997</v>
      </c>
      <c r="D18">
        <f t="shared" si="1"/>
        <v>52.461180632954829</v>
      </c>
      <c r="E18">
        <f t="shared" si="1"/>
        <v>32.810399780127</v>
      </c>
      <c r="F18">
        <f t="shared" si="1"/>
        <v>89.713903140478791</v>
      </c>
      <c r="G18">
        <f t="shared" si="1"/>
        <v>0</v>
      </c>
      <c r="H18">
        <f t="shared" si="2"/>
        <v>0</v>
      </c>
      <c r="I18">
        <f t="shared" si="2"/>
        <v>0</v>
      </c>
      <c r="J18">
        <f t="shared" si="2"/>
        <v>0</v>
      </c>
    </row>
    <row r="19" spans="1:10" x14ac:dyDescent="0.25">
      <c r="A19" s="157" t="s">
        <v>294</v>
      </c>
      <c r="B19" s="157"/>
      <c r="C19" s="72">
        <v>283.24</v>
      </c>
      <c r="D19">
        <f t="shared" si="1"/>
        <v>52.177487191790604</v>
      </c>
      <c r="E19">
        <f t="shared" si="1"/>
        <v>32.632971534950393</v>
      </c>
      <c r="F19">
        <f t="shared" si="1"/>
        <v>89.228758780494474</v>
      </c>
      <c r="G19">
        <f t="shared" si="1"/>
        <v>0</v>
      </c>
      <c r="H19">
        <f t="shared" si="2"/>
        <v>0</v>
      </c>
      <c r="I19">
        <f t="shared" si="2"/>
        <v>0</v>
      </c>
      <c r="J19">
        <f t="shared" si="2"/>
        <v>0</v>
      </c>
    </row>
    <row r="20" spans="1:10" x14ac:dyDescent="0.25">
      <c r="A20" s="157" t="s">
        <v>295</v>
      </c>
      <c r="B20" s="157"/>
      <c r="C20" s="72">
        <v>216.36</v>
      </c>
      <c r="D20">
        <f t="shared" si="1"/>
        <v>39.85708631837246</v>
      </c>
      <c r="E20">
        <f t="shared" si="1"/>
        <v>24.927516315851815</v>
      </c>
      <c r="F20">
        <f t="shared" si="1"/>
        <v>68.159632289746455</v>
      </c>
      <c r="G20">
        <f t="shared" si="1"/>
        <v>0</v>
      </c>
      <c r="H20">
        <f t="shared" si="2"/>
        <v>0</v>
      </c>
      <c r="I20">
        <f t="shared" si="2"/>
        <v>0</v>
      </c>
      <c r="J20">
        <f t="shared" si="2"/>
        <v>0</v>
      </c>
    </row>
    <row r="21" spans="1:10" x14ac:dyDescent="0.25">
      <c r="A21" s="157" t="s">
        <v>296</v>
      </c>
      <c r="B21" s="157"/>
      <c r="C21" s="72">
        <v>284.56</v>
      </c>
      <c r="D21">
        <f t="shared" si="1"/>
        <v>52.420652998502803</v>
      </c>
      <c r="E21">
        <f t="shared" si="1"/>
        <v>32.785052887958919</v>
      </c>
      <c r="F21">
        <f t="shared" si="1"/>
        <v>89.644596803338175</v>
      </c>
      <c r="G21">
        <f t="shared" si="1"/>
        <v>0</v>
      </c>
      <c r="H21">
        <f t="shared" si="2"/>
        <v>0</v>
      </c>
      <c r="I21">
        <f t="shared" si="2"/>
        <v>0</v>
      </c>
      <c r="J21">
        <f t="shared" si="2"/>
        <v>0</v>
      </c>
    </row>
    <row r="22" spans="1:10" ht="15" customHeight="1" x14ac:dyDescent="0.25">
      <c r="A22" s="157" t="s">
        <v>297</v>
      </c>
      <c r="B22" s="157"/>
      <c r="C22" s="72">
        <v>284.58999999999997</v>
      </c>
      <c r="D22">
        <f t="shared" si="1"/>
        <v>52.426179494109888</v>
      </c>
      <c r="E22">
        <f t="shared" si="1"/>
        <v>32.788509282345473</v>
      </c>
      <c r="F22">
        <f t="shared" si="1"/>
        <v>89.6540476674937</v>
      </c>
      <c r="G22">
        <f t="shared" si="1"/>
        <v>0</v>
      </c>
      <c r="H22">
        <f t="shared" si="2"/>
        <v>0</v>
      </c>
      <c r="I22">
        <f t="shared" si="2"/>
        <v>0</v>
      </c>
      <c r="J22">
        <f t="shared" si="2"/>
        <v>0</v>
      </c>
    </row>
    <row r="23" spans="1:10" ht="15" customHeight="1" x14ac:dyDescent="0.25">
      <c r="A23" s="157" t="s">
        <v>298</v>
      </c>
      <c r="B23" s="157"/>
      <c r="C23" s="72">
        <v>354.49</v>
      </c>
      <c r="D23">
        <f t="shared" si="1"/>
        <v>65.302914258642318</v>
      </c>
      <c r="E23">
        <f t="shared" si="1"/>
        <v>40.841908203024168</v>
      </c>
      <c r="F23">
        <f t="shared" si="1"/>
        <v>111.67456114989933</v>
      </c>
      <c r="G23">
        <f t="shared" si="1"/>
        <v>0</v>
      </c>
      <c r="H23">
        <f t="shared" si="2"/>
        <v>0</v>
      </c>
      <c r="I23">
        <f t="shared" si="2"/>
        <v>0</v>
      </c>
      <c r="J23">
        <f t="shared" si="2"/>
        <v>0</v>
      </c>
    </row>
    <row r="24" spans="1:10" ht="15" customHeight="1" x14ac:dyDescent="0.25">
      <c r="A24" s="157" t="s">
        <v>299</v>
      </c>
      <c r="B24" s="157"/>
      <c r="C24" s="72">
        <v>350.79</v>
      </c>
      <c r="D24">
        <f t="shared" si="1"/>
        <v>64.621313133767217</v>
      </c>
      <c r="E24">
        <f t="shared" si="1"/>
        <v>40.415619562015422</v>
      </c>
      <c r="F24">
        <f t="shared" si="1"/>
        <v>110.5089545707162</v>
      </c>
      <c r="G24">
        <f t="shared" si="1"/>
        <v>0</v>
      </c>
      <c r="H24">
        <f t="shared" si="2"/>
        <v>0</v>
      </c>
      <c r="I24">
        <f t="shared" si="2"/>
        <v>0</v>
      </c>
      <c r="J24">
        <f t="shared" si="2"/>
        <v>0</v>
      </c>
    </row>
    <row r="25" spans="1:10" ht="15" customHeight="1" x14ac:dyDescent="0.25">
      <c r="A25" s="157" t="s">
        <v>300</v>
      </c>
      <c r="B25" s="157"/>
      <c r="C25" s="72">
        <v>355.14</v>
      </c>
      <c r="D25">
        <f t="shared" si="1"/>
        <v>65.422654996796055</v>
      </c>
      <c r="E25">
        <f t="shared" si="1"/>
        <v>40.91679674806624</v>
      </c>
      <c r="F25">
        <f t="shared" si="1"/>
        <v>111.87932987326933</v>
      </c>
      <c r="G25">
        <f t="shared" si="1"/>
        <v>0</v>
      </c>
      <c r="H25">
        <f t="shared" si="2"/>
        <v>0</v>
      </c>
      <c r="I25">
        <f t="shared" si="2"/>
        <v>0</v>
      </c>
      <c r="J25">
        <f t="shared" si="2"/>
        <v>0</v>
      </c>
    </row>
    <row r="26" spans="1:10" ht="15" customHeight="1" x14ac:dyDescent="0.25">
      <c r="A26" s="157" t="s">
        <v>301</v>
      </c>
      <c r="B26" s="157"/>
      <c r="C26" s="72">
        <v>350.09</v>
      </c>
      <c r="D26">
        <f t="shared" ref="D26:F28" si="3">$C26/$C$29*D$29</f>
        <v>64.492361569601641</v>
      </c>
      <c r="E26">
        <f t="shared" si="3"/>
        <v>40.334970359662414</v>
      </c>
      <c r="F26">
        <f t="shared" si="3"/>
        <v>110.28843440708694</v>
      </c>
    </row>
    <row r="27" spans="1:10" ht="15" customHeight="1" x14ac:dyDescent="0.25">
      <c r="A27" s="157" t="s">
        <v>302</v>
      </c>
      <c r="B27" s="157"/>
      <c r="C27" s="72">
        <v>285.69</v>
      </c>
      <c r="D27">
        <f t="shared" si="3"/>
        <v>52.628817666370068</v>
      </c>
      <c r="E27">
        <f t="shared" si="3"/>
        <v>32.915243743185911</v>
      </c>
      <c r="F27">
        <f t="shared" si="3"/>
        <v>90.000579353196812</v>
      </c>
      <c r="G27">
        <f t="shared" ref="G27:J28" si="4">$C27/$C$29*G$29</f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t="15.75" customHeight="1" thickBot="1" x14ac:dyDescent="0.3">
      <c r="A28" s="157" t="s">
        <v>303</v>
      </c>
      <c r="B28" s="157"/>
      <c r="C28" s="72">
        <v>154.62</v>
      </c>
      <c r="D28">
        <f t="shared" si="3"/>
        <v>28.483558358970001</v>
      </c>
      <c r="E28">
        <f t="shared" si="3"/>
        <v>17.814256668316727</v>
      </c>
      <c r="F28">
        <f t="shared" si="3"/>
        <v>48.709753857647421</v>
      </c>
      <c r="G28">
        <f t="shared" si="4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x14ac:dyDescent="0.25">
      <c r="A29" s="137" t="s">
        <v>6</v>
      </c>
      <c r="B29" s="137"/>
      <c r="C29" s="12">
        <f>SUM(C5:C28)</f>
        <v>6585.62</v>
      </c>
      <c r="D29" s="2">
        <v>1213.18</v>
      </c>
      <c r="E29" s="2">
        <v>758.75</v>
      </c>
      <c r="F29" s="2">
        <v>2074.66</v>
      </c>
      <c r="G29" s="2"/>
      <c r="H29" s="2"/>
      <c r="I29" s="2"/>
      <c r="J29" s="2"/>
    </row>
    <row r="31" spans="1:10" s="47" customFormat="1" ht="27" customHeight="1" x14ac:dyDescent="0.25">
      <c r="D31" s="38" t="str">
        <f t="shared" ref="D31:F31" si="5">D4</f>
        <v xml:space="preserve">150dne суровая </v>
      </c>
      <c r="E31" s="38" t="str">
        <f t="shared" si="5"/>
        <v>пряжа 20 текс</v>
      </c>
      <c r="F31" s="38" t="str">
        <f t="shared" si="5"/>
        <v>900dne Турция</v>
      </c>
      <c r="G31" s="38">
        <f>G4</f>
        <v>0</v>
      </c>
      <c r="H31" s="48">
        <f t="shared" ref="H31:J31" si="6">H4</f>
        <v>0</v>
      </c>
      <c r="I31" s="48">
        <f t="shared" si="6"/>
        <v>0</v>
      </c>
      <c r="J31" s="48">
        <f t="shared" si="6"/>
        <v>0</v>
      </c>
    </row>
    <row r="32" spans="1:10" x14ac:dyDescent="0.25">
      <c r="A32" s="141" t="str">
        <f t="shared" ref="A32:A53" si="7">A5</f>
        <v xml:space="preserve">Производство 7212 от 13.12.2025 </v>
      </c>
      <c r="B32" s="141"/>
      <c r="C32" s="22">
        <f t="shared" ref="C32:C53" si="8">C5</f>
        <v>216.17</v>
      </c>
      <c r="D32">
        <f t="shared" ref="D32:J33" si="9">ROUND(D5,3)</f>
        <v>39.822000000000003</v>
      </c>
      <c r="E32">
        <f t="shared" si="9"/>
        <v>24.905999999999999</v>
      </c>
      <c r="F32">
        <f t="shared" si="9"/>
        <v>68.099999999999994</v>
      </c>
      <c r="G32">
        <f t="shared" si="9"/>
        <v>0</v>
      </c>
      <c r="H32">
        <f t="shared" si="9"/>
        <v>0</v>
      </c>
      <c r="I32">
        <f t="shared" si="9"/>
        <v>0</v>
      </c>
      <c r="J32">
        <f t="shared" si="9"/>
        <v>0</v>
      </c>
    </row>
    <row r="33" spans="1:10" x14ac:dyDescent="0.25">
      <c r="A33" s="141" t="str">
        <f t="shared" si="7"/>
        <v xml:space="preserve">Производство 7221 от 14.12.2025 </v>
      </c>
      <c r="B33" s="141"/>
      <c r="C33" s="22">
        <f t="shared" si="8"/>
        <v>423.67</v>
      </c>
      <c r="D33">
        <f t="shared" si="9"/>
        <v>78.046999999999997</v>
      </c>
      <c r="E33">
        <f t="shared" si="9"/>
        <v>48.811999999999998</v>
      </c>
      <c r="F33">
        <f t="shared" si="9"/>
        <v>133.46799999999999</v>
      </c>
      <c r="G33">
        <f t="shared" si="9"/>
        <v>0</v>
      </c>
      <c r="H33">
        <f t="shared" si="9"/>
        <v>0</v>
      </c>
      <c r="I33">
        <f t="shared" si="9"/>
        <v>0</v>
      </c>
      <c r="J33">
        <f t="shared" si="9"/>
        <v>0</v>
      </c>
    </row>
    <row r="34" spans="1:10" x14ac:dyDescent="0.25">
      <c r="A34" s="141" t="str">
        <f t="shared" si="7"/>
        <v xml:space="preserve">Производство 7226 от 15.12.2025 </v>
      </c>
      <c r="B34" s="141"/>
      <c r="C34" s="22">
        <f t="shared" si="8"/>
        <v>289.19</v>
      </c>
      <c r="D34">
        <f t="shared" ref="D34:G52" si="10">ROUND(D7,3)</f>
        <v>53.274000000000001</v>
      </c>
      <c r="E34">
        <f t="shared" si="10"/>
        <v>33.317999999999998</v>
      </c>
      <c r="F34">
        <f t="shared" si="10"/>
        <v>91.102999999999994</v>
      </c>
      <c r="G34">
        <f t="shared" si="10"/>
        <v>0</v>
      </c>
    </row>
    <row r="35" spans="1:10" x14ac:dyDescent="0.25">
      <c r="A35" s="141" t="str">
        <f t="shared" si="7"/>
        <v xml:space="preserve">Производство 7304 от 16.12.2025 </v>
      </c>
      <c r="B35" s="141"/>
      <c r="C35" s="22">
        <f t="shared" si="8"/>
        <v>363.95</v>
      </c>
      <c r="D35">
        <f t="shared" si="10"/>
        <v>67.046000000000006</v>
      </c>
      <c r="E35">
        <f t="shared" si="10"/>
        <v>41.932000000000002</v>
      </c>
      <c r="F35">
        <f t="shared" si="10"/>
        <v>114.655</v>
      </c>
      <c r="G35">
        <f t="shared" si="10"/>
        <v>0</v>
      </c>
    </row>
    <row r="36" spans="1:10" x14ac:dyDescent="0.25">
      <c r="A36" s="141" t="str">
        <f t="shared" si="7"/>
        <v xml:space="preserve">Производство 7307 от 17.12.2025 </v>
      </c>
      <c r="B36" s="141"/>
      <c r="C36" s="22">
        <f t="shared" si="8"/>
        <v>290.57</v>
      </c>
      <c r="D36">
        <f t="shared" si="10"/>
        <v>53.527999999999999</v>
      </c>
      <c r="E36">
        <f t="shared" si="10"/>
        <v>33.476999999999997</v>
      </c>
      <c r="F36">
        <f t="shared" si="10"/>
        <v>91.537999999999997</v>
      </c>
      <c r="G36">
        <f t="shared" si="10"/>
        <v>0</v>
      </c>
    </row>
    <row r="37" spans="1:10" x14ac:dyDescent="0.25">
      <c r="A37" s="141" t="str">
        <f t="shared" si="7"/>
        <v xml:space="preserve">Производство 7376 от 18.12.2025 </v>
      </c>
      <c r="B37" s="141"/>
      <c r="C37" s="22">
        <f t="shared" si="8"/>
        <v>287.05</v>
      </c>
      <c r="D37">
        <f t="shared" si="10"/>
        <v>52.878999999999998</v>
      </c>
      <c r="E37">
        <f t="shared" si="10"/>
        <v>33.072000000000003</v>
      </c>
      <c r="F37">
        <f t="shared" si="10"/>
        <v>90.429000000000002</v>
      </c>
      <c r="G37">
        <f t="shared" si="10"/>
        <v>0</v>
      </c>
    </row>
    <row r="38" spans="1:10" x14ac:dyDescent="0.25">
      <c r="A38" s="141" t="str">
        <f t="shared" si="7"/>
        <v xml:space="preserve">Производство 7434 от 19.12.2025 </v>
      </c>
      <c r="B38" s="141"/>
      <c r="C38" s="22">
        <f t="shared" si="8"/>
        <v>355.49</v>
      </c>
      <c r="D38">
        <f t="shared" si="10"/>
        <v>65.486999999999995</v>
      </c>
      <c r="E38">
        <f t="shared" si="10"/>
        <v>40.957000000000001</v>
      </c>
      <c r="F38">
        <f t="shared" si="10"/>
        <v>111.99</v>
      </c>
      <c r="G38">
        <f t="shared" si="10"/>
        <v>0</v>
      </c>
    </row>
    <row r="39" spans="1:10" x14ac:dyDescent="0.25">
      <c r="A39" s="141" t="str">
        <f t="shared" si="7"/>
        <v xml:space="preserve">Производство 7435 от 20.12.2025 </v>
      </c>
      <c r="B39" s="141"/>
      <c r="C39" s="22">
        <f t="shared" si="8"/>
        <v>213.39</v>
      </c>
      <c r="D39">
        <f t="shared" si="10"/>
        <v>39.31</v>
      </c>
      <c r="E39">
        <f t="shared" si="10"/>
        <v>24.585000000000001</v>
      </c>
      <c r="F39">
        <f t="shared" si="10"/>
        <v>67.224000000000004</v>
      </c>
      <c r="G39">
        <f t="shared" si="10"/>
        <v>0</v>
      </c>
    </row>
    <row r="40" spans="1:10" x14ac:dyDescent="0.25">
      <c r="A40" s="141" t="str">
        <f t="shared" si="7"/>
        <v xml:space="preserve">Производство 7510 от 22.12.2025 </v>
      </c>
      <c r="B40" s="141"/>
      <c r="C40" s="22">
        <f t="shared" si="8"/>
        <v>232.64</v>
      </c>
      <c r="D40">
        <f t="shared" si="10"/>
        <v>42.856000000000002</v>
      </c>
      <c r="E40">
        <f t="shared" si="10"/>
        <v>26.803000000000001</v>
      </c>
      <c r="F40">
        <f t="shared" si="10"/>
        <v>73.287999999999997</v>
      </c>
      <c r="G40">
        <f t="shared" si="10"/>
        <v>0</v>
      </c>
    </row>
    <row r="41" spans="1:10" x14ac:dyDescent="0.25">
      <c r="A41" s="141" t="str">
        <f t="shared" si="7"/>
        <v xml:space="preserve">Производство 7607 от 25.12.2025 </v>
      </c>
      <c r="B41" s="141"/>
      <c r="C41" s="22">
        <f t="shared" si="8"/>
        <v>142.32</v>
      </c>
      <c r="D41">
        <f t="shared" si="10"/>
        <v>26.218</v>
      </c>
      <c r="E41">
        <f t="shared" si="10"/>
        <v>16.396999999999998</v>
      </c>
      <c r="F41">
        <f t="shared" si="10"/>
        <v>44.835000000000001</v>
      </c>
      <c r="G41">
        <f t="shared" si="10"/>
        <v>0</v>
      </c>
    </row>
    <row r="42" spans="1:10" x14ac:dyDescent="0.25">
      <c r="A42" s="141" t="str">
        <f t="shared" si="7"/>
        <v xml:space="preserve">Производство 7631 от 26.12.2025 </v>
      </c>
      <c r="B42" s="141"/>
      <c r="C42" s="22">
        <f t="shared" si="8"/>
        <v>212.8</v>
      </c>
      <c r="D42">
        <f t="shared" si="10"/>
        <v>39.201000000000001</v>
      </c>
      <c r="E42">
        <f t="shared" si="10"/>
        <v>24.516999999999999</v>
      </c>
      <c r="F42">
        <f t="shared" si="10"/>
        <v>67.037999999999997</v>
      </c>
      <c r="G42">
        <f t="shared" si="10"/>
        <v>0</v>
      </c>
    </row>
    <row r="43" spans="1:10" x14ac:dyDescent="0.25">
      <c r="A43" s="141" t="str">
        <f t="shared" si="7"/>
        <v xml:space="preserve">Производство 7730 от 29.12.2025 </v>
      </c>
      <c r="B43" s="141"/>
      <c r="C43" s="22">
        <f t="shared" si="8"/>
        <v>143.02000000000001</v>
      </c>
      <c r="D43">
        <f t="shared" si="10"/>
        <v>26.347000000000001</v>
      </c>
      <c r="E43">
        <f t="shared" si="10"/>
        <v>16.478000000000002</v>
      </c>
      <c r="F43">
        <f t="shared" si="10"/>
        <v>45.055</v>
      </c>
      <c r="G43">
        <f t="shared" si="10"/>
        <v>0</v>
      </c>
    </row>
    <row r="44" spans="1:10" x14ac:dyDescent="0.25">
      <c r="A44" s="141" t="str">
        <f t="shared" si="7"/>
        <v xml:space="preserve">Производство 7772 от 30.12.2025 </v>
      </c>
      <c r="B44" s="141"/>
      <c r="C44" s="22">
        <f t="shared" si="8"/>
        <v>211.01</v>
      </c>
      <c r="D44">
        <f t="shared" si="10"/>
        <v>38.872</v>
      </c>
      <c r="E44">
        <f t="shared" si="10"/>
        <v>24.311</v>
      </c>
      <c r="F44">
        <f t="shared" si="10"/>
        <v>66.474000000000004</v>
      </c>
      <c r="G44">
        <f t="shared" si="10"/>
        <v>0</v>
      </c>
      <c r="H44">
        <f t="shared" ref="H44:J52" si="11">ROUND(H17,3)</f>
        <v>0</v>
      </c>
      <c r="I44">
        <f t="shared" si="11"/>
        <v>0</v>
      </c>
      <c r="J44">
        <f t="shared" si="11"/>
        <v>0</v>
      </c>
    </row>
    <row r="45" spans="1:10" x14ac:dyDescent="0.25">
      <c r="A45" s="141" t="str">
        <f t="shared" si="7"/>
        <v xml:space="preserve">Производство 11 от 05.01.2026 </v>
      </c>
      <c r="B45" s="141"/>
      <c r="C45" s="22">
        <f t="shared" si="8"/>
        <v>284.77999999999997</v>
      </c>
      <c r="D45">
        <f t="shared" si="10"/>
        <v>52.460999999999999</v>
      </c>
      <c r="E45">
        <f t="shared" si="10"/>
        <v>32.81</v>
      </c>
      <c r="F45">
        <f t="shared" si="10"/>
        <v>89.713999999999999</v>
      </c>
      <c r="G45">
        <f t="shared" si="10"/>
        <v>0</v>
      </c>
      <c r="H45">
        <f t="shared" si="11"/>
        <v>0</v>
      </c>
      <c r="I45">
        <f t="shared" si="11"/>
        <v>0</v>
      </c>
      <c r="J45">
        <f t="shared" si="11"/>
        <v>0</v>
      </c>
    </row>
    <row r="46" spans="1:10" x14ac:dyDescent="0.25">
      <c r="A46" s="141" t="str">
        <f t="shared" si="7"/>
        <v xml:space="preserve">Производство 17 от 06.01.2026 </v>
      </c>
      <c r="B46" s="141"/>
      <c r="C46" s="22">
        <f t="shared" si="8"/>
        <v>283.24</v>
      </c>
      <c r="D46">
        <f t="shared" si="10"/>
        <v>52.177</v>
      </c>
      <c r="E46">
        <f t="shared" si="10"/>
        <v>32.633000000000003</v>
      </c>
      <c r="F46">
        <f t="shared" si="10"/>
        <v>89.228999999999999</v>
      </c>
      <c r="G46">
        <f t="shared" si="10"/>
        <v>0</v>
      </c>
      <c r="H46">
        <f t="shared" si="11"/>
        <v>0</v>
      </c>
      <c r="I46">
        <f t="shared" si="11"/>
        <v>0</v>
      </c>
      <c r="J46">
        <f t="shared" si="11"/>
        <v>0</v>
      </c>
    </row>
    <row r="47" spans="1:10" x14ac:dyDescent="0.25">
      <c r="A47" s="141" t="str">
        <f t="shared" si="7"/>
        <v xml:space="preserve">Производство 22 от 07.01.2026 </v>
      </c>
      <c r="B47" s="141"/>
      <c r="C47" s="22">
        <f t="shared" si="8"/>
        <v>216.36</v>
      </c>
      <c r="D47">
        <f t="shared" si="10"/>
        <v>39.856999999999999</v>
      </c>
      <c r="E47">
        <f t="shared" si="10"/>
        <v>24.928000000000001</v>
      </c>
      <c r="F47">
        <f t="shared" si="10"/>
        <v>68.16</v>
      </c>
      <c r="G47">
        <f t="shared" si="10"/>
        <v>0</v>
      </c>
      <c r="H47">
        <f t="shared" si="11"/>
        <v>0</v>
      </c>
      <c r="I47">
        <f t="shared" si="11"/>
        <v>0</v>
      </c>
      <c r="J47">
        <f t="shared" si="11"/>
        <v>0</v>
      </c>
    </row>
    <row r="48" spans="1:10" x14ac:dyDescent="0.25">
      <c r="A48" s="141" t="str">
        <f t="shared" si="7"/>
        <v xml:space="preserve">Производство 29 от 08.01.2026 </v>
      </c>
      <c r="B48" s="141"/>
      <c r="C48" s="22">
        <f t="shared" si="8"/>
        <v>284.56</v>
      </c>
      <c r="D48">
        <f t="shared" si="10"/>
        <v>52.420999999999999</v>
      </c>
      <c r="E48">
        <f t="shared" si="10"/>
        <v>32.784999999999997</v>
      </c>
      <c r="F48">
        <f t="shared" si="10"/>
        <v>89.644999999999996</v>
      </c>
      <c r="G48">
        <f t="shared" si="10"/>
        <v>0</v>
      </c>
      <c r="H48">
        <f t="shared" si="11"/>
        <v>0</v>
      </c>
      <c r="I48">
        <f t="shared" si="11"/>
        <v>0</v>
      </c>
      <c r="J48">
        <f t="shared" si="11"/>
        <v>0</v>
      </c>
    </row>
    <row r="49" spans="1:10" x14ac:dyDescent="0.25">
      <c r="A49" s="141" t="str">
        <f t="shared" si="7"/>
        <v xml:space="preserve">Производство 34 от 09.01.2026 </v>
      </c>
      <c r="B49" s="141"/>
      <c r="C49" s="22">
        <f t="shared" si="8"/>
        <v>284.58999999999997</v>
      </c>
      <c r="D49">
        <f t="shared" si="10"/>
        <v>52.426000000000002</v>
      </c>
      <c r="E49">
        <f t="shared" si="10"/>
        <v>32.789000000000001</v>
      </c>
      <c r="F49">
        <f t="shared" si="10"/>
        <v>89.653999999999996</v>
      </c>
      <c r="G49">
        <f t="shared" si="10"/>
        <v>0</v>
      </c>
      <c r="H49">
        <f t="shared" si="11"/>
        <v>0</v>
      </c>
      <c r="I49">
        <f t="shared" si="11"/>
        <v>0</v>
      </c>
      <c r="J49">
        <f t="shared" si="11"/>
        <v>0</v>
      </c>
    </row>
    <row r="50" spans="1:10" x14ac:dyDescent="0.25">
      <c r="A50" s="141" t="str">
        <f t="shared" si="7"/>
        <v xml:space="preserve">Производство 42 от 12.01.2026 </v>
      </c>
      <c r="B50" s="141"/>
      <c r="C50" s="22">
        <f t="shared" si="8"/>
        <v>354.49</v>
      </c>
      <c r="D50">
        <f t="shared" si="10"/>
        <v>65.302999999999997</v>
      </c>
      <c r="E50">
        <f t="shared" si="10"/>
        <v>40.841999999999999</v>
      </c>
      <c r="F50">
        <f t="shared" si="10"/>
        <v>111.675</v>
      </c>
      <c r="G50">
        <f t="shared" si="10"/>
        <v>0</v>
      </c>
      <c r="H50">
        <f t="shared" si="11"/>
        <v>0</v>
      </c>
      <c r="I50">
        <f t="shared" si="11"/>
        <v>0</v>
      </c>
      <c r="J50">
        <f t="shared" si="11"/>
        <v>0</v>
      </c>
    </row>
    <row r="51" spans="1:10" x14ac:dyDescent="0.25">
      <c r="A51" s="141" t="str">
        <f t="shared" si="7"/>
        <v xml:space="preserve">Производство 87 от 13.01.2026 </v>
      </c>
      <c r="B51" s="141"/>
      <c r="C51" s="22">
        <f t="shared" si="8"/>
        <v>350.79</v>
      </c>
      <c r="D51">
        <f t="shared" si="10"/>
        <v>64.620999999999995</v>
      </c>
      <c r="E51">
        <f t="shared" si="10"/>
        <v>40.415999999999997</v>
      </c>
      <c r="F51">
        <f t="shared" si="10"/>
        <v>110.509</v>
      </c>
      <c r="G51">
        <f t="shared" si="10"/>
        <v>0</v>
      </c>
      <c r="H51">
        <f t="shared" si="11"/>
        <v>0</v>
      </c>
      <c r="I51">
        <f t="shared" si="11"/>
        <v>0</v>
      </c>
      <c r="J51">
        <f t="shared" si="11"/>
        <v>0</v>
      </c>
    </row>
    <row r="52" spans="1:10" x14ac:dyDescent="0.25">
      <c r="A52" s="141" t="str">
        <f t="shared" si="7"/>
        <v xml:space="preserve">Производство 89 от 14.01.2026 </v>
      </c>
      <c r="B52" s="141"/>
      <c r="C52" s="22">
        <f t="shared" si="8"/>
        <v>355.14</v>
      </c>
      <c r="D52">
        <f t="shared" si="10"/>
        <v>65.423000000000002</v>
      </c>
      <c r="E52">
        <f t="shared" si="10"/>
        <v>40.917000000000002</v>
      </c>
      <c r="F52">
        <f t="shared" si="10"/>
        <v>111.879</v>
      </c>
      <c r="G52">
        <f t="shared" si="10"/>
        <v>0</v>
      </c>
      <c r="H52">
        <f t="shared" si="11"/>
        <v>0</v>
      </c>
      <c r="I52">
        <f t="shared" si="11"/>
        <v>0</v>
      </c>
      <c r="J52">
        <f t="shared" si="11"/>
        <v>0</v>
      </c>
    </row>
    <row r="53" spans="1:10" x14ac:dyDescent="0.25">
      <c r="A53" s="141" t="str">
        <f t="shared" si="7"/>
        <v xml:space="preserve">Производство 193 от 15.01.2026 </v>
      </c>
      <c r="B53" s="141"/>
      <c r="C53" s="22">
        <f t="shared" si="8"/>
        <v>350.09</v>
      </c>
      <c r="D53">
        <f>ROUND(D26,3)</f>
        <v>64.492000000000004</v>
      </c>
      <c r="E53">
        <f>ROUND(E26,3)</f>
        <v>40.335000000000001</v>
      </c>
      <c r="F53">
        <f>ROUND(F26,3)</f>
        <v>110.288</v>
      </c>
    </row>
    <row r="54" spans="1:10" x14ac:dyDescent="0.25">
      <c r="A54" s="141" t="str">
        <f t="shared" ref="A54:A55" si="12">A27</f>
        <v xml:space="preserve">Производство 210 от 16.01.2026 </v>
      </c>
      <c r="B54" s="141"/>
      <c r="C54" s="22">
        <f t="shared" ref="C54:C55" si="13">C27</f>
        <v>285.69</v>
      </c>
      <c r="D54">
        <f t="shared" ref="D54:J55" si="14">ROUND(D27,3)</f>
        <v>52.628999999999998</v>
      </c>
      <c r="E54">
        <f t="shared" si="14"/>
        <v>32.914999999999999</v>
      </c>
      <c r="F54">
        <f t="shared" si="14"/>
        <v>90.001000000000005</v>
      </c>
      <c r="G54">
        <f t="shared" si="14"/>
        <v>0</v>
      </c>
      <c r="H54">
        <f t="shared" si="14"/>
        <v>0</v>
      </c>
      <c r="I54">
        <f t="shared" si="14"/>
        <v>0</v>
      </c>
      <c r="J54">
        <f t="shared" si="14"/>
        <v>0</v>
      </c>
    </row>
    <row r="55" spans="1:10" ht="15.75" thickBot="1" x14ac:dyDescent="0.3">
      <c r="A55" s="141" t="str">
        <f t="shared" si="12"/>
        <v xml:space="preserve">Производство 272 от 19.01.2026 </v>
      </c>
      <c r="B55" s="141"/>
      <c r="C55" s="22">
        <f t="shared" si="13"/>
        <v>154.62</v>
      </c>
      <c r="D55">
        <f t="shared" si="14"/>
        <v>28.484000000000002</v>
      </c>
      <c r="E55">
        <f t="shared" si="14"/>
        <v>17.814</v>
      </c>
      <c r="F55">
        <f t="shared" si="14"/>
        <v>48.71</v>
      </c>
      <c r="G55">
        <f t="shared" si="14"/>
        <v>0</v>
      </c>
      <c r="H55">
        <f t="shared" si="14"/>
        <v>0</v>
      </c>
      <c r="I55">
        <f t="shared" si="14"/>
        <v>0</v>
      </c>
      <c r="J55">
        <f t="shared" si="14"/>
        <v>0</v>
      </c>
    </row>
    <row r="56" spans="1:10" ht="15" customHeight="1" x14ac:dyDescent="0.25">
      <c r="A56" s="137" t="s">
        <v>6</v>
      </c>
      <c r="B56" s="137"/>
      <c r="C56" s="12">
        <f>SUM(C32:C55)</f>
        <v>6585.62</v>
      </c>
      <c r="D56" s="2">
        <f>SUM(D32:D55)</f>
        <v>1213.1809999999998</v>
      </c>
      <c r="E56" s="2">
        <f t="shared" ref="E56:J56" si="15">SUM(E32:E55)</f>
        <v>758.7489999999998</v>
      </c>
      <c r="F56" s="2">
        <f t="shared" si="15"/>
        <v>2074.6610000000001</v>
      </c>
      <c r="G56" s="2">
        <f t="shared" si="15"/>
        <v>0</v>
      </c>
      <c r="H56" s="2">
        <f t="shared" si="15"/>
        <v>0</v>
      </c>
      <c r="I56" s="2">
        <f t="shared" si="15"/>
        <v>0</v>
      </c>
      <c r="J56" s="2">
        <f t="shared" si="15"/>
        <v>0</v>
      </c>
    </row>
    <row r="59" spans="1:10" x14ac:dyDescent="0.25">
      <c r="D59" t="s">
        <v>107</v>
      </c>
      <c r="E59" t="s">
        <v>108</v>
      </c>
      <c r="F59" t="s">
        <v>109</v>
      </c>
    </row>
    <row r="60" spans="1:10" x14ac:dyDescent="0.25">
      <c r="C60" t="str">
        <f>D4</f>
        <v xml:space="preserve">150dne суровая </v>
      </c>
      <c r="D60" s="64">
        <f>D29/C29</f>
        <v>0.18421652023651533</v>
      </c>
      <c r="E60" s="64">
        <v>0.19</v>
      </c>
      <c r="F60" s="29">
        <f>D60/E60-1</f>
        <v>-3.0439367176235077E-2</v>
      </c>
      <c r="G60" s="64"/>
      <c r="H60" s="64"/>
      <c r="I60" s="64"/>
      <c r="J60" s="64"/>
    </row>
    <row r="61" spans="1:10" x14ac:dyDescent="0.25">
      <c r="C61" t="str">
        <f>E4</f>
        <v>пряжа 20 текс</v>
      </c>
      <c r="D61" s="64">
        <f>E29/C29</f>
        <v>0.11521314621857927</v>
      </c>
      <c r="E61" s="64">
        <v>0.18</v>
      </c>
      <c r="F61" s="29">
        <f t="shared" ref="F61:F64" si="16">D61/E61-1</f>
        <v>-0.35992696545233738</v>
      </c>
    </row>
    <row r="62" spans="1:10" x14ac:dyDescent="0.25">
      <c r="C62" t="str">
        <f>F4</f>
        <v>900dne Турция</v>
      </c>
      <c r="D62" s="64">
        <f>F29/C29</f>
        <v>0.3150288051846295</v>
      </c>
      <c r="E62" s="64">
        <v>0.27600000000000002</v>
      </c>
      <c r="F62" s="29">
        <f t="shared" si="16"/>
        <v>0.14140871443706327</v>
      </c>
      <c r="G62" s="64"/>
      <c r="H62" s="64"/>
      <c r="I62" s="64"/>
      <c r="J62" s="64"/>
    </row>
    <row r="63" spans="1:10" hidden="1" x14ac:dyDescent="0.25">
      <c r="C63">
        <f>G4</f>
        <v>0</v>
      </c>
      <c r="D63" s="64">
        <f>G29/C29</f>
        <v>0</v>
      </c>
      <c r="E63" s="64">
        <v>8.7999999999999995E-2</v>
      </c>
      <c r="F63" s="29">
        <f t="shared" si="16"/>
        <v>-1</v>
      </c>
    </row>
    <row r="64" spans="1:10" hidden="1" x14ac:dyDescent="0.25">
      <c r="C64">
        <f>G4</f>
        <v>0</v>
      </c>
      <c r="D64" s="64">
        <f>G29/C29</f>
        <v>0</v>
      </c>
      <c r="E64" s="64">
        <v>8.5999999999999993E-2</v>
      </c>
      <c r="F64" s="50">
        <f t="shared" si="16"/>
        <v>-1</v>
      </c>
    </row>
  </sheetData>
  <mergeCells count="51">
    <mergeCell ref="A25:B25"/>
    <mergeCell ref="A53:B53"/>
    <mergeCell ref="A26:B26"/>
    <mergeCell ref="A27:B27"/>
    <mergeCell ref="A28:B28"/>
    <mergeCell ref="A43:B43"/>
    <mergeCell ref="A51:B51"/>
    <mergeCell ref="A52:B52"/>
    <mergeCell ref="A29:B29"/>
    <mergeCell ref="A32:B32"/>
    <mergeCell ref="A33:B33"/>
    <mergeCell ref="A40:B40"/>
    <mergeCell ref="A41:B41"/>
    <mergeCell ref="A42:B42"/>
    <mergeCell ref="A24:B24"/>
    <mergeCell ref="A20:B20"/>
    <mergeCell ref="A21:B21"/>
    <mergeCell ref="A22:B22"/>
    <mergeCell ref="A23:B23"/>
    <mergeCell ref="A54:B54"/>
    <mergeCell ref="A55:B55"/>
    <mergeCell ref="A56:B56"/>
    <mergeCell ref="A34:B34"/>
    <mergeCell ref="A35:B35"/>
    <mergeCell ref="A36:B36"/>
    <mergeCell ref="A37:B37"/>
    <mergeCell ref="A38:B38"/>
    <mergeCell ref="A45:B45"/>
    <mergeCell ref="A46:B46"/>
    <mergeCell ref="A47:B47"/>
    <mergeCell ref="A48:B48"/>
    <mergeCell ref="A49:B49"/>
    <mergeCell ref="A50:B50"/>
    <mergeCell ref="A44:B44"/>
    <mergeCell ref="A39:B39"/>
    <mergeCell ref="A1:E1"/>
    <mergeCell ref="A5:B5"/>
    <mergeCell ref="A6:B6"/>
    <mergeCell ref="A7:B7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</mergeCells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2"/>
  <sheetViews>
    <sheetView workbookViewId="0">
      <selection activeCell="O35" sqref="O35"/>
    </sheetView>
  </sheetViews>
  <sheetFormatPr defaultRowHeight="15" x14ac:dyDescent="0.25"/>
  <cols>
    <col min="1" max="1" width="27.5703125" customWidth="1"/>
    <col min="3" max="3" width="13.7109375" customWidth="1"/>
    <col min="4" max="4" width="16.28515625" customWidth="1"/>
    <col min="5" max="5" width="15.28515625" customWidth="1"/>
    <col min="6" max="6" width="12.28515625" customWidth="1"/>
    <col min="7" max="7" width="17" hidden="1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197</v>
      </c>
      <c r="B1" s="138"/>
      <c r="C1" s="138"/>
      <c r="D1" s="138"/>
      <c r="E1" s="138"/>
    </row>
    <row r="2" spans="1:10" x14ac:dyDescent="0.25">
      <c r="A2" s="37"/>
      <c r="B2" s="52"/>
      <c r="C2" s="52"/>
      <c r="D2" s="52"/>
      <c r="E2" s="52"/>
    </row>
    <row r="3" spans="1:10" x14ac:dyDescent="0.25">
      <c r="A3" s="37" t="s">
        <v>198</v>
      </c>
      <c r="C3" s="55" t="s">
        <v>199</v>
      </c>
    </row>
    <row r="4" spans="1:10" ht="30" x14ac:dyDescent="0.25">
      <c r="D4" s="38" t="s">
        <v>149</v>
      </c>
      <c r="E4" s="38" t="s">
        <v>182</v>
      </c>
      <c r="F4" s="38"/>
      <c r="G4" s="8"/>
      <c r="H4" s="4"/>
      <c r="I4" s="4"/>
      <c r="J4" s="4"/>
    </row>
    <row r="5" spans="1:10" ht="15" customHeight="1" x14ac:dyDescent="0.25">
      <c r="A5" s="158" t="s">
        <v>200</v>
      </c>
      <c r="B5" s="158"/>
      <c r="C5" s="56">
        <v>76.52</v>
      </c>
      <c r="D5">
        <f t="shared" ref="D5:J17" si="0">$C5/$C$18*D$18</f>
        <v>29.670383087120705</v>
      </c>
      <c r="E5">
        <f t="shared" si="0"/>
        <v>6.9972948003838944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58" t="s">
        <v>201</v>
      </c>
      <c r="B6" s="158"/>
      <c r="C6" s="56">
        <v>391.38</v>
      </c>
      <c r="D6">
        <f t="shared" si="0"/>
        <v>151.75633210451255</v>
      </c>
      <c r="E6">
        <f t="shared" si="0"/>
        <v>35.789352312784224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58" t="s">
        <v>202</v>
      </c>
      <c r="B7" s="158"/>
      <c r="C7" s="56">
        <v>512.33000000000004</v>
      </c>
      <c r="D7">
        <f t="shared" si="0"/>
        <v>198.65430432598737</v>
      </c>
      <c r="E7">
        <f t="shared" si="0"/>
        <v>46.849503986940427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x14ac:dyDescent="0.25">
      <c r="A8" s="158" t="s">
        <v>203</v>
      </c>
      <c r="B8" s="158"/>
      <c r="C8" s="57">
        <v>1038.79</v>
      </c>
      <c r="D8">
        <f t="shared" si="0"/>
        <v>402.78747055763353</v>
      </c>
      <c r="E8">
        <f t="shared" si="0"/>
        <v>94.991111679179127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.75" thickBot="1" x14ac:dyDescent="0.3">
      <c r="A9" s="158" t="s">
        <v>204</v>
      </c>
      <c r="B9" s="158"/>
      <c r="C9" s="56">
        <v>210.76</v>
      </c>
      <c r="D9">
        <f t="shared" si="0"/>
        <v>81.721509924745945</v>
      </c>
      <c r="E9">
        <f t="shared" si="0"/>
        <v>19.272737220712358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t="15.75" hidden="1" thickBot="1" x14ac:dyDescent="0.3">
      <c r="A10" s="148"/>
      <c r="B10" s="148"/>
      <c r="C10" s="26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idden="1" x14ac:dyDescent="0.25">
      <c r="A11" s="148"/>
      <c r="B11" s="148"/>
      <c r="C11" s="26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2229.7799999999997</v>
      </c>
      <c r="D18" s="2">
        <v>864.59</v>
      </c>
      <c r="E18" s="2">
        <v>203.9</v>
      </c>
      <c r="F18" s="2"/>
      <c r="G18" s="2"/>
      <c r="H18" s="2"/>
      <c r="I18" s="2"/>
      <c r="J18" s="2"/>
    </row>
    <row r="20" spans="1:10" s="47" customFormat="1" ht="27" customHeight="1" x14ac:dyDescent="0.25">
      <c r="D20" s="38" t="str">
        <f t="shared" ref="D20:F20" si="2">D4</f>
        <v>150dne суровая Турция</v>
      </c>
      <c r="E20" s="38" t="str">
        <f t="shared" si="2"/>
        <v>300dne Турция</v>
      </c>
      <c r="F20" s="38">
        <f t="shared" si="2"/>
        <v>0</v>
      </c>
      <c r="G20" s="38">
        <f>G4</f>
        <v>0</v>
      </c>
      <c r="H20" s="48">
        <f t="shared" ref="H20:J20" si="3">H4</f>
        <v>0</v>
      </c>
      <c r="I20" s="48">
        <f t="shared" si="3"/>
        <v>0</v>
      </c>
      <c r="J20" s="48">
        <f t="shared" si="3"/>
        <v>0</v>
      </c>
    </row>
    <row r="21" spans="1:10" x14ac:dyDescent="0.25">
      <c r="A21" s="141" t="str">
        <f>A5</f>
        <v xml:space="preserve">Производство 364 от 11.12.2025 </v>
      </c>
      <c r="B21" s="141"/>
      <c r="C21" s="22">
        <f>C5</f>
        <v>76.52</v>
      </c>
      <c r="D21">
        <f>ROUND(D5,3)</f>
        <v>29.67</v>
      </c>
      <c r="E21">
        <f t="shared" ref="E21:J33" si="4">ROUND(E5,3)</f>
        <v>6.9969999999999999</v>
      </c>
      <c r="F21">
        <f t="shared" si="4"/>
        <v>0</v>
      </c>
      <c r="G21">
        <f t="shared" si="4"/>
        <v>0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ref="A22:A33" si="5">A6</f>
        <v xml:space="preserve">Производство 367 от 12.12.2025 </v>
      </c>
      <c r="B22" s="141"/>
      <c r="C22" s="22">
        <f t="shared" ref="C22:C33" si="6">C6</f>
        <v>391.38</v>
      </c>
      <c r="D22">
        <f t="shared" ref="D22:G33" si="7">ROUND(D6,3)</f>
        <v>151.756</v>
      </c>
      <c r="E22">
        <f t="shared" si="7"/>
        <v>35.789000000000001</v>
      </c>
      <c r="F22">
        <f t="shared" si="7"/>
        <v>0</v>
      </c>
      <c r="G22">
        <f t="shared" si="7"/>
        <v>0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x14ac:dyDescent="0.25">
      <c r="A23" s="141" t="str">
        <f t="shared" si="5"/>
        <v xml:space="preserve">Производство 371 от 13.12.2025 </v>
      </c>
      <c r="B23" s="141"/>
      <c r="C23" s="22">
        <f t="shared" si="6"/>
        <v>512.33000000000004</v>
      </c>
      <c r="D23">
        <f t="shared" si="7"/>
        <v>198.654</v>
      </c>
      <c r="E23">
        <f t="shared" si="7"/>
        <v>46.85</v>
      </c>
      <c r="F23">
        <f t="shared" si="7"/>
        <v>0</v>
      </c>
      <c r="G23">
        <f t="shared" si="7"/>
        <v>0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x14ac:dyDescent="0.25">
      <c r="A24" s="141" t="str">
        <f t="shared" si="5"/>
        <v xml:space="preserve">Производство 382 от 14.12.2025 </v>
      </c>
      <c r="B24" s="141"/>
      <c r="C24" s="22">
        <f t="shared" si="6"/>
        <v>1038.79</v>
      </c>
      <c r="D24">
        <f t="shared" si="7"/>
        <v>402.78699999999998</v>
      </c>
      <c r="E24">
        <f t="shared" si="7"/>
        <v>94.991</v>
      </c>
      <c r="F24">
        <f t="shared" si="7"/>
        <v>0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ht="15.75" thickBot="1" x14ac:dyDescent="0.3">
      <c r="A25" s="141" t="str">
        <f t="shared" si="5"/>
        <v xml:space="preserve">Производство 387 от 15.12.2025 </v>
      </c>
      <c r="B25" s="141"/>
      <c r="C25" s="22">
        <f t="shared" si="6"/>
        <v>210.76</v>
      </c>
      <c r="D25">
        <f t="shared" si="7"/>
        <v>81.721999999999994</v>
      </c>
      <c r="E25">
        <f t="shared" si="7"/>
        <v>19.273</v>
      </c>
      <c r="F25">
        <f t="shared" si="7"/>
        <v>0</v>
      </c>
      <c r="G25">
        <f t="shared" si="7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t="15.75" hidden="1" thickBot="1" x14ac:dyDescent="0.3">
      <c r="A26" s="141">
        <f t="shared" si="5"/>
        <v>0</v>
      </c>
      <c r="B26" s="141"/>
      <c r="C26" s="22">
        <f t="shared" si="6"/>
        <v>0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t="15.75" hidden="1" thickBot="1" x14ac:dyDescent="0.3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t="15.75" hidden="1" thickBot="1" x14ac:dyDescent="0.3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t="15.75" hidden="1" thickBot="1" x14ac:dyDescent="0.3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t="15.75" hidden="1" thickBot="1" x14ac:dyDescent="0.3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t="15.75" hidden="1" thickBot="1" x14ac:dyDescent="0.3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t="15.75" hidden="1" thickBot="1" x14ac:dyDescent="0.3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2229.7799999999997</v>
      </c>
      <c r="D34" s="2">
        <f>SUM(D21:D33)</f>
        <v>864.58899999999994</v>
      </c>
      <c r="E34" s="2">
        <f t="shared" ref="E34:J34" si="8">SUM(E21:E33)</f>
        <v>203.9</v>
      </c>
      <c r="F34" s="2">
        <f t="shared" si="8"/>
        <v>0</v>
      </c>
      <c r="G34" s="2">
        <f t="shared" si="8"/>
        <v>0</v>
      </c>
      <c r="H34" s="2">
        <f t="shared" si="8"/>
        <v>0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>150dne суровая Турция</v>
      </c>
      <c r="D38" s="52">
        <f>D18/C18</f>
        <v>0.38774677322426432</v>
      </c>
      <c r="E38" s="52">
        <v>0.34799999999999998</v>
      </c>
      <c r="F38" s="29">
        <f>D38/E38-1</f>
        <v>0.11421486558696659</v>
      </c>
      <c r="G38" s="52"/>
      <c r="H38" s="52"/>
      <c r="I38" s="52"/>
      <c r="J38" s="52"/>
    </row>
    <row r="39" spans="1:10" x14ac:dyDescent="0.25">
      <c r="C39" t="str">
        <f>E4</f>
        <v>300dne Турция</v>
      </c>
      <c r="D39" s="52">
        <f>E18/C18</f>
        <v>9.1443998959538628E-2</v>
      </c>
      <c r="E39" s="52">
        <v>9.6000000000000002E-2</v>
      </c>
      <c r="F39" s="29">
        <f t="shared" ref="F39:F42" si="9">D39/E39-1</f>
        <v>-4.7458344171472655E-2</v>
      </c>
    </row>
    <row r="40" spans="1:10" hidden="1" x14ac:dyDescent="0.25">
      <c r="C40">
        <f>F4</f>
        <v>0</v>
      </c>
      <c r="D40" s="52">
        <f>F18/C18</f>
        <v>0</v>
      </c>
      <c r="E40" s="52"/>
      <c r="F40" s="29" t="e">
        <f t="shared" si="9"/>
        <v>#DIV/0!</v>
      </c>
      <c r="G40" s="52"/>
      <c r="H40" s="52"/>
      <c r="I40" s="52"/>
      <c r="J40" s="52"/>
    </row>
    <row r="41" spans="1:10" hidden="1" x14ac:dyDescent="0.25">
      <c r="C41">
        <f>G4</f>
        <v>0</v>
      </c>
      <c r="D41" s="52">
        <f>G18/C18</f>
        <v>0</v>
      </c>
      <c r="E41" s="52"/>
      <c r="F41" s="29" t="e">
        <f t="shared" si="9"/>
        <v>#DIV/0!</v>
      </c>
    </row>
    <row r="42" spans="1:10" hidden="1" x14ac:dyDescent="0.25">
      <c r="C42">
        <f>G4</f>
        <v>0</v>
      </c>
      <c r="D42" s="52">
        <f>G18/C18</f>
        <v>0</v>
      </c>
      <c r="E42" s="52"/>
      <c r="F42" s="50" t="e">
        <f t="shared" si="9"/>
        <v>#DIV/0!</v>
      </c>
    </row>
  </sheetData>
  <mergeCells count="29">
    <mergeCell ref="A30:B30"/>
    <mergeCell ref="A31:B31"/>
    <mergeCell ref="A32:B32"/>
    <mergeCell ref="A33:B33"/>
    <mergeCell ref="A34:B34"/>
    <mergeCell ref="A29:B29"/>
    <mergeCell ref="A16:B16"/>
    <mergeCell ref="A17:B17"/>
    <mergeCell ref="A18:B18"/>
    <mergeCell ref="A21:B21"/>
    <mergeCell ref="A22:B22"/>
    <mergeCell ref="A23:B23"/>
    <mergeCell ref="A24:B24"/>
    <mergeCell ref="A25:B25"/>
    <mergeCell ref="A26:B26"/>
    <mergeCell ref="A27:B27"/>
    <mergeCell ref="A28:B28"/>
    <mergeCell ref="A15:B15"/>
    <mergeCell ref="A1:E1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2"/>
  <sheetViews>
    <sheetView workbookViewId="0">
      <selection activeCell="E4" sqref="E4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7" hidden="1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205</v>
      </c>
      <c r="B1" s="138"/>
      <c r="C1" s="138"/>
      <c r="D1" s="138"/>
      <c r="E1" s="138"/>
    </row>
    <row r="2" spans="1:10" x14ac:dyDescent="0.25">
      <c r="A2" s="37"/>
      <c r="B2" s="54"/>
      <c r="C2" s="54"/>
      <c r="D2" s="54"/>
      <c r="E2" s="54"/>
    </row>
    <row r="3" spans="1:10" x14ac:dyDescent="0.25">
      <c r="A3" s="37" t="s">
        <v>206</v>
      </c>
    </row>
    <row r="4" spans="1:10" x14ac:dyDescent="0.25">
      <c r="D4" s="38" t="s">
        <v>143</v>
      </c>
      <c r="E4" s="38" t="s">
        <v>44</v>
      </c>
      <c r="F4" s="38" t="s">
        <v>207</v>
      </c>
      <c r="G4" s="8"/>
      <c r="H4" s="4"/>
      <c r="I4" s="4"/>
      <c r="J4" s="4"/>
    </row>
    <row r="5" spans="1:10" ht="15" customHeight="1" x14ac:dyDescent="0.25">
      <c r="A5" s="159" t="s">
        <v>208</v>
      </c>
      <c r="B5" s="159"/>
      <c r="C5" s="58">
        <v>221.42</v>
      </c>
      <c r="D5">
        <f t="shared" ref="D5:J17" si="0">$C5/$C$18*D$18</f>
        <v>69.938118903613329</v>
      </c>
      <c r="E5">
        <f t="shared" si="0"/>
        <v>4.7114071267215625</v>
      </c>
      <c r="F5">
        <f t="shared" si="0"/>
        <v>35.939461800314376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59" t="s">
        <v>209</v>
      </c>
      <c r="B6" s="159"/>
      <c r="C6" s="58">
        <v>254.26</v>
      </c>
      <c r="D6">
        <f t="shared" si="0"/>
        <v>80.311020289191248</v>
      </c>
      <c r="E6">
        <f t="shared" si="0"/>
        <v>5.4101814472054217</v>
      </c>
      <c r="F6">
        <f t="shared" si="0"/>
        <v>41.269838123692239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59" t="s">
        <v>210</v>
      </c>
      <c r="B7" s="159"/>
      <c r="C7" s="58">
        <v>256.83999999999997</v>
      </c>
      <c r="D7">
        <f t="shared" si="0"/>
        <v>81.125943723259184</v>
      </c>
      <c r="E7">
        <f t="shared" si="0"/>
        <v>5.4650790643445317</v>
      </c>
      <c r="F7">
        <f t="shared" si="0"/>
        <v>41.688607030949079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thickBot="1" x14ac:dyDescent="0.3">
      <c r="A8" s="159" t="s">
        <v>211</v>
      </c>
      <c r="B8" s="159"/>
      <c r="C8" s="58">
        <v>228.09</v>
      </c>
      <c r="D8">
        <f t="shared" si="0"/>
        <v>72.044917083936255</v>
      </c>
      <c r="E8">
        <f t="shared" si="0"/>
        <v>4.8533323617284854</v>
      </c>
      <c r="F8">
        <f t="shared" si="0"/>
        <v>37.022093045044294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.75" hidden="1" thickBot="1" x14ac:dyDescent="0.3">
      <c r="A9" s="154"/>
      <c r="B9" s="154"/>
      <c r="C9" s="49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t="15.75" hidden="1" thickBot="1" x14ac:dyDescent="0.3">
      <c r="A10" s="148"/>
      <c r="B10" s="148"/>
      <c r="C10" s="26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hidden="1" thickBot="1" x14ac:dyDescent="0.3">
      <c r="A11" s="148"/>
      <c r="B11" s="148"/>
      <c r="C11" s="26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960.61</v>
      </c>
      <c r="D18" s="2">
        <v>303.42</v>
      </c>
      <c r="E18" s="2">
        <v>20.440000000000001</v>
      </c>
      <c r="F18" s="2">
        <v>155.91999999999999</v>
      </c>
      <c r="G18" s="2"/>
      <c r="H18" s="2"/>
      <c r="I18" s="2"/>
      <c r="J18" s="2"/>
    </row>
    <row r="20" spans="1:10" s="47" customFormat="1" ht="27" customHeight="1" x14ac:dyDescent="0.25">
      <c r="D20" s="38" t="str">
        <f t="shared" ref="D20:F20" si="2">D4</f>
        <v>150dne суровая</v>
      </c>
      <c r="E20" s="38" t="str">
        <f t="shared" si="2"/>
        <v>300dne</v>
      </c>
      <c r="F20" s="38" t="str">
        <f t="shared" si="2"/>
        <v>Трилобал 167</v>
      </c>
      <c r="G20" s="38">
        <f>G4</f>
        <v>0</v>
      </c>
      <c r="H20" s="48">
        <f t="shared" ref="H20:J20" si="3">H4</f>
        <v>0</v>
      </c>
      <c r="I20" s="48">
        <f t="shared" si="3"/>
        <v>0</v>
      </c>
      <c r="J20" s="48">
        <f t="shared" si="3"/>
        <v>0</v>
      </c>
    </row>
    <row r="21" spans="1:10" x14ac:dyDescent="0.25">
      <c r="A21" s="141" t="str">
        <f>A5</f>
        <v xml:space="preserve">Производство 7264 от 16.12.2025 </v>
      </c>
      <c r="B21" s="141"/>
      <c r="C21" s="22">
        <f>C5</f>
        <v>221.42</v>
      </c>
      <c r="D21">
        <f>ROUND(D5,3)</f>
        <v>69.938000000000002</v>
      </c>
      <c r="E21">
        <f t="shared" ref="E21:J33" si="4">ROUND(E5,3)</f>
        <v>4.7110000000000003</v>
      </c>
      <c r="F21">
        <f t="shared" si="4"/>
        <v>35.939</v>
      </c>
      <c r="G21">
        <f t="shared" si="4"/>
        <v>0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ref="A22:A33" si="5">A6</f>
        <v xml:space="preserve">Производство 7325 от 17.12.2025 </v>
      </c>
      <c r="B22" s="141"/>
      <c r="C22" s="22">
        <f t="shared" ref="C22:C33" si="6">C6</f>
        <v>254.26</v>
      </c>
      <c r="D22">
        <f t="shared" ref="D22:G33" si="7">ROUND(D6,3)</f>
        <v>80.311000000000007</v>
      </c>
      <c r="E22">
        <f t="shared" si="7"/>
        <v>5.41</v>
      </c>
      <c r="F22">
        <f t="shared" si="7"/>
        <v>41.27</v>
      </c>
      <c r="G22">
        <f t="shared" si="7"/>
        <v>0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x14ac:dyDescent="0.25">
      <c r="A23" s="141" t="str">
        <f t="shared" si="5"/>
        <v xml:space="preserve">Производство 7356 от 18.12.2025 </v>
      </c>
      <c r="B23" s="141"/>
      <c r="C23" s="22">
        <f t="shared" si="6"/>
        <v>256.83999999999997</v>
      </c>
      <c r="D23">
        <f t="shared" si="7"/>
        <v>81.126000000000005</v>
      </c>
      <c r="E23">
        <f t="shared" si="7"/>
        <v>5.4649999999999999</v>
      </c>
      <c r="F23">
        <f t="shared" si="7"/>
        <v>41.689</v>
      </c>
      <c r="G23">
        <f t="shared" si="7"/>
        <v>0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ht="15.75" thickBot="1" x14ac:dyDescent="0.3">
      <c r="A24" s="141" t="str">
        <f t="shared" si="5"/>
        <v xml:space="preserve">Производство 7433 от 19.12.2025 </v>
      </c>
      <c r="B24" s="141"/>
      <c r="C24" s="22">
        <f t="shared" si="6"/>
        <v>228.09</v>
      </c>
      <c r="D24">
        <f t="shared" si="7"/>
        <v>72.045000000000002</v>
      </c>
      <c r="E24">
        <f t="shared" si="7"/>
        <v>4.8529999999999998</v>
      </c>
      <c r="F24">
        <f t="shared" si="7"/>
        <v>37.021999999999998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ht="15.75" hidden="1" thickBot="1" x14ac:dyDescent="0.3">
      <c r="A25" s="141">
        <f t="shared" si="5"/>
        <v>0</v>
      </c>
      <c r="B25" s="141"/>
      <c r="C25" s="22">
        <f t="shared" si="6"/>
        <v>0</v>
      </c>
      <c r="D25">
        <f t="shared" si="7"/>
        <v>0</v>
      </c>
      <c r="E25">
        <f t="shared" si="7"/>
        <v>0</v>
      </c>
      <c r="F25">
        <f t="shared" si="7"/>
        <v>0</v>
      </c>
      <c r="G25">
        <f t="shared" si="7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t="15.75" hidden="1" thickBot="1" x14ac:dyDescent="0.3">
      <c r="A26" s="141">
        <f t="shared" si="5"/>
        <v>0</v>
      </c>
      <c r="B26" s="141"/>
      <c r="C26" s="22">
        <f t="shared" si="6"/>
        <v>0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t="15.75" hidden="1" thickBot="1" x14ac:dyDescent="0.3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t="15.75" hidden="1" thickBot="1" x14ac:dyDescent="0.3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t="15.75" hidden="1" thickBot="1" x14ac:dyDescent="0.3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t="15.75" hidden="1" thickBot="1" x14ac:dyDescent="0.3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t="15.75" hidden="1" thickBot="1" x14ac:dyDescent="0.3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t="15.75" hidden="1" thickBot="1" x14ac:dyDescent="0.3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960.61</v>
      </c>
      <c r="D34" s="2">
        <f>SUM(D21:D33)</f>
        <v>303.42</v>
      </c>
      <c r="E34" s="2">
        <f>SUM(E21:E33)</f>
        <v>20.439</v>
      </c>
      <c r="F34" s="2">
        <f t="shared" ref="F34:J34" si="8">SUM(F21:F33)</f>
        <v>155.91999999999999</v>
      </c>
      <c r="G34" s="2">
        <f t="shared" si="8"/>
        <v>0</v>
      </c>
      <c r="H34" s="2">
        <f t="shared" si="8"/>
        <v>0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>150dne суровая</v>
      </c>
      <c r="D38" s="54">
        <f>D18/C18</f>
        <v>0.31586179615036281</v>
      </c>
      <c r="E38" s="54">
        <v>0.21299999999999999</v>
      </c>
      <c r="F38" s="29">
        <f>D38/E38-1</f>
        <v>0.48291923075287713</v>
      </c>
      <c r="G38" s="54"/>
      <c r="H38" s="54"/>
      <c r="I38" s="54"/>
      <c r="J38" s="54"/>
    </row>
    <row r="39" spans="1:10" x14ac:dyDescent="0.25">
      <c r="C39" t="str">
        <f>E4</f>
        <v>300dne</v>
      </c>
      <c r="D39" s="54">
        <f>E18/C18</f>
        <v>2.1278146177949427E-2</v>
      </c>
      <c r="E39" s="54">
        <v>0.104</v>
      </c>
      <c r="F39" s="29">
        <f t="shared" ref="F39:F42" si="9">D39/E39-1</f>
        <v>-0.79540244059664011</v>
      </c>
    </row>
    <row r="40" spans="1:10" x14ac:dyDescent="0.25">
      <c r="C40" t="str">
        <f>F4</f>
        <v>Трилобал 167</v>
      </c>
      <c r="D40" s="54">
        <f>F18/C18</f>
        <v>0.1623135299445144</v>
      </c>
      <c r="E40" s="54">
        <v>8.5000000000000006E-2</v>
      </c>
      <c r="F40" s="29">
        <f t="shared" si="9"/>
        <v>0.90957094052369869</v>
      </c>
      <c r="G40" s="54"/>
      <c r="H40" s="54"/>
      <c r="I40" s="54"/>
      <c r="J40" s="54"/>
    </row>
    <row r="41" spans="1:10" hidden="1" x14ac:dyDescent="0.25">
      <c r="C41">
        <f>G4</f>
        <v>0</v>
      </c>
      <c r="D41" s="54">
        <f>G18/C18</f>
        <v>0</v>
      </c>
      <c r="E41" s="54">
        <v>8.7999999999999995E-2</v>
      </c>
      <c r="F41" s="29">
        <f t="shared" si="9"/>
        <v>-1</v>
      </c>
    </row>
    <row r="42" spans="1:10" hidden="1" x14ac:dyDescent="0.25">
      <c r="C42">
        <f>G4</f>
        <v>0</v>
      </c>
      <c r="D42" s="54">
        <f>G18/C18</f>
        <v>0</v>
      </c>
      <c r="E42" s="54">
        <v>8.5999999999999993E-2</v>
      </c>
      <c r="F42" s="50">
        <f t="shared" si="9"/>
        <v>-1</v>
      </c>
    </row>
  </sheetData>
  <mergeCells count="29">
    <mergeCell ref="A15:B15"/>
    <mergeCell ref="A1:E1"/>
    <mergeCell ref="A9:B9"/>
    <mergeCell ref="A25:B25"/>
    <mergeCell ref="A26:B26"/>
    <mergeCell ref="A12:B12"/>
    <mergeCell ref="A13:B13"/>
    <mergeCell ref="A14:B14"/>
    <mergeCell ref="A27:B27"/>
    <mergeCell ref="A28:B28"/>
    <mergeCell ref="A29:B29"/>
    <mergeCell ref="A5:B5"/>
    <mergeCell ref="A6:B6"/>
    <mergeCell ref="A7:B7"/>
    <mergeCell ref="A8:B8"/>
    <mergeCell ref="A24:B24"/>
    <mergeCell ref="A16:B16"/>
    <mergeCell ref="A17:B17"/>
    <mergeCell ref="A18:B18"/>
    <mergeCell ref="A21:B21"/>
    <mergeCell ref="A22:B22"/>
    <mergeCell ref="A23:B23"/>
    <mergeCell ref="A10:B10"/>
    <mergeCell ref="A11:B11"/>
    <mergeCell ref="A30:B30"/>
    <mergeCell ref="A31:B31"/>
    <mergeCell ref="A32:B32"/>
    <mergeCell ref="A33:B33"/>
    <mergeCell ref="A34:B34"/>
  </mergeCells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workbookViewId="0">
      <selection activeCell="D39" sqref="D39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7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222</v>
      </c>
      <c r="B1" s="138"/>
      <c r="C1" s="138"/>
      <c r="D1" s="138"/>
      <c r="E1" s="138"/>
    </row>
    <row r="2" spans="1:10" x14ac:dyDescent="0.25">
      <c r="A2" s="37"/>
      <c r="B2" s="54"/>
      <c r="C2" s="54"/>
      <c r="D2" s="54"/>
      <c r="E2" s="54"/>
    </row>
    <row r="3" spans="1:10" x14ac:dyDescent="0.25">
      <c r="A3" s="37" t="s">
        <v>223</v>
      </c>
      <c r="B3" t="s">
        <v>191</v>
      </c>
    </row>
    <row r="4" spans="1:10" ht="30" x14ac:dyDescent="0.25">
      <c r="D4" s="38" t="s">
        <v>224</v>
      </c>
      <c r="E4" s="38" t="s">
        <v>44</v>
      </c>
      <c r="F4" s="38" t="s">
        <v>225</v>
      </c>
      <c r="G4" s="38" t="s">
        <v>215</v>
      </c>
      <c r="H4" s="4"/>
      <c r="I4" s="4"/>
      <c r="J4" s="4"/>
    </row>
    <row r="5" spans="1:10" ht="15" customHeight="1" x14ac:dyDescent="0.25">
      <c r="A5" s="161" t="s">
        <v>226</v>
      </c>
      <c r="B5" s="161"/>
      <c r="C5" s="60">
        <v>143.59</v>
      </c>
      <c r="D5">
        <f t="shared" ref="D5:J17" si="0">$C5/$C$18*D$18</f>
        <v>31.616196109998324</v>
      </c>
      <c r="E5">
        <f t="shared" si="0"/>
        <v>24.675793257080819</v>
      </c>
      <c r="F5">
        <f t="shared" si="0"/>
        <v>13.534054362679949</v>
      </c>
      <c r="G5">
        <f t="shared" si="0"/>
        <v>7.6016496003294725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61" t="s">
        <v>227</v>
      </c>
      <c r="B6" s="161"/>
      <c r="C6" s="60">
        <v>231.06</v>
      </c>
      <c r="D6">
        <f t="shared" si="0"/>
        <v>50.875675695913451</v>
      </c>
      <c r="E6">
        <f t="shared" si="0"/>
        <v>39.707422452685378</v>
      </c>
      <c r="F6">
        <f t="shared" si="0"/>
        <v>21.778526367022973</v>
      </c>
      <c r="G6">
        <f t="shared" si="0"/>
        <v>12.232308354705257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thickBot="1" x14ac:dyDescent="0.3">
      <c r="A7" s="161" t="s">
        <v>228</v>
      </c>
      <c r="B7" s="161"/>
      <c r="C7" s="60">
        <v>159.54</v>
      </c>
      <c r="D7">
        <f t="shared" si="0"/>
        <v>35.128128194088248</v>
      </c>
      <c r="E7">
        <f t="shared" si="0"/>
        <v>27.416784290233814</v>
      </c>
      <c r="F7">
        <f t="shared" si="0"/>
        <v>15.037419270297088</v>
      </c>
      <c r="G7">
        <f t="shared" si="0"/>
        <v>8.4460420449652762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hidden="1" customHeight="1" thickBot="1" x14ac:dyDescent="0.3">
      <c r="A8" s="160"/>
      <c r="B8" s="160"/>
      <c r="C8" s="59"/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.75" hidden="1" thickBot="1" x14ac:dyDescent="0.3">
      <c r="A9" s="154"/>
      <c r="B9" s="154"/>
      <c r="C9" s="49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t="15.75" hidden="1" thickBot="1" x14ac:dyDescent="0.3">
      <c r="A10" s="148"/>
      <c r="B10" s="148"/>
      <c r="C10" s="26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hidden="1" thickBot="1" x14ac:dyDescent="0.3">
      <c r="A11" s="148"/>
      <c r="B11" s="148"/>
      <c r="C11" s="26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534.18999999999994</v>
      </c>
      <c r="D18" s="2">
        <v>117.62</v>
      </c>
      <c r="E18" s="2">
        <v>91.8</v>
      </c>
      <c r="F18" s="2">
        <v>50.35</v>
      </c>
      <c r="G18" s="2">
        <v>28.28</v>
      </c>
      <c r="H18" s="2"/>
      <c r="I18" s="2"/>
      <c r="J18" s="2"/>
    </row>
    <row r="20" spans="1:10" s="47" customFormat="1" ht="27" customHeight="1" x14ac:dyDescent="0.25">
      <c r="D20" s="38" t="str">
        <f t="shared" ref="D20:F20" si="2">D4</f>
        <v>Пряжа меланж 25текс</v>
      </c>
      <c r="E20" s="38" t="str">
        <f t="shared" si="2"/>
        <v>300dne</v>
      </c>
      <c r="F20" s="38" t="str">
        <f t="shared" si="2"/>
        <v>Нить 150D/48 №149 серый</v>
      </c>
      <c r="G20" s="38" t="str">
        <f>G4</f>
        <v xml:space="preserve">150dne суровая </v>
      </c>
      <c r="H20" s="48">
        <f t="shared" ref="H20:J20" si="3">H4</f>
        <v>0</v>
      </c>
      <c r="I20" s="48">
        <f t="shared" si="3"/>
        <v>0</v>
      </c>
      <c r="J20" s="48">
        <f t="shared" si="3"/>
        <v>0</v>
      </c>
    </row>
    <row r="21" spans="1:10" x14ac:dyDescent="0.25">
      <c r="A21" s="141" t="str">
        <f>A5</f>
        <v xml:space="preserve">Производство 7243 от 15.12.2025 </v>
      </c>
      <c r="B21" s="141"/>
      <c r="C21" s="22">
        <f>C5</f>
        <v>143.59</v>
      </c>
      <c r="D21">
        <f>ROUND(D5,3)</f>
        <v>31.616</v>
      </c>
      <c r="E21">
        <f t="shared" ref="E21:J33" si="4">ROUND(E5,3)</f>
        <v>24.675999999999998</v>
      </c>
      <c r="F21">
        <f t="shared" si="4"/>
        <v>13.534000000000001</v>
      </c>
      <c r="G21">
        <f t="shared" si="4"/>
        <v>7.6020000000000003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ref="A22:A33" si="5">A6</f>
        <v xml:space="preserve">Производство 7275 от 16.12.2025 </v>
      </c>
      <c r="B22" s="141"/>
      <c r="C22" s="22">
        <f t="shared" ref="C22:C33" si="6">C6</f>
        <v>231.06</v>
      </c>
      <c r="D22">
        <f t="shared" ref="D22:G33" si="7">ROUND(D6,3)</f>
        <v>50.875999999999998</v>
      </c>
      <c r="E22">
        <f t="shared" si="7"/>
        <v>39.707000000000001</v>
      </c>
      <c r="F22">
        <f t="shared" si="7"/>
        <v>21.779</v>
      </c>
      <c r="G22">
        <f t="shared" si="7"/>
        <v>12.231999999999999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ht="15.75" thickBot="1" x14ac:dyDescent="0.3">
      <c r="A23" s="141" t="str">
        <f t="shared" si="5"/>
        <v xml:space="preserve">Производство 7306 от 17.12.2025 </v>
      </c>
      <c r="B23" s="141"/>
      <c r="C23" s="22">
        <f t="shared" si="6"/>
        <v>159.54</v>
      </c>
      <c r="D23">
        <f t="shared" si="7"/>
        <v>35.128</v>
      </c>
      <c r="E23">
        <f t="shared" si="7"/>
        <v>27.417000000000002</v>
      </c>
      <c r="F23">
        <f t="shared" si="7"/>
        <v>15.037000000000001</v>
      </c>
      <c r="G23">
        <f t="shared" si="7"/>
        <v>8.4459999999999997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ht="15.75" hidden="1" thickBot="1" x14ac:dyDescent="0.3">
      <c r="A24" s="141">
        <f t="shared" si="5"/>
        <v>0</v>
      </c>
      <c r="B24" s="141"/>
      <c r="C24" s="22">
        <f t="shared" si="6"/>
        <v>0</v>
      </c>
      <c r="D24">
        <f t="shared" si="7"/>
        <v>0</v>
      </c>
      <c r="E24">
        <f t="shared" si="7"/>
        <v>0</v>
      </c>
      <c r="F24">
        <f t="shared" si="7"/>
        <v>0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ht="15.75" hidden="1" thickBot="1" x14ac:dyDescent="0.3">
      <c r="A25" s="141">
        <f t="shared" si="5"/>
        <v>0</v>
      </c>
      <c r="B25" s="141"/>
      <c r="C25" s="22">
        <f t="shared" si="6"/>
        <v>0</v>
      </c>
      <c r="D25">
        <f t="shared" si="7"/>
        <v>0</v>
      </c>
      <c r="E25">
        <f t="shared" si="7"/>
        <v>0</v>
      </c>
      <c r="F25">
        <f t="shared" si="7"/>
        <v>0</v>
      </c>
      <c r="G25">
        <f t="shared" si="7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t="15.75" hidden="1" thickBot="1" x14ac:dyDescent="0.3">
      <c r="A26" s="141">
        <f t="shared" si="5"/>
        <v>0</v>
      </c>
      <c r="B26" s="141"/>
      <c r="C26" s="22">
        <f t="shared" si="6"/>
        <v>0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t="15.75" hidden="1" thickBot="1" x14ac:dyDescent="0.3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t="15.75" hidden="1" thickBot="1" x14ac:dyDescent="0.3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t="15.75" hidden="1" thickBot="1" x14ac:dyDescent="0.3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t="15.75" hidden="1" thickBot="1" x14ac:dyDescent="0.3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t="15.75" hidden="1" thickBot="1" x14ac:dyDescent="0.3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t="15.75" hidden="1" thickBot="1" x14ac:dyDescent="0.3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534.18999999999994</v>
      </c>
      <c r="D34" s="2">
        <f>SUM(D21:D33)</f>
        <v>117.61999999999999</v>
      </c>
      <c r="E34" s="2">
        <f>SUM(E21:E33)</f>
        <v>91.8</v>
      </c>
      <c r="F34" s="2">
        <f t="shared" ref="F34:J34" si="8">SUM(F21:F33)</f>
        <v>50.35</v>
      </c>
      <c r="G34" s="2">
        <f t="shared" si="8"/>
        <v>28.28</v>
      </c>
      <c r="H34" s="2">
        <f t="shared" si="8"/>
        <v>0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>Пряжа меланж 25текс</v>
      </c>
      <c r="D38" s="54">
        <f>D18/C18</f>
        <v>0.22018382972350664</v>
      </c>
      <c r="E38" s="54">
        <v>0.245</v>
      </c>
      <c r="F38" s="29">
        <f>D38/E38-1</f>
        <v>-0.10129049092446263</v>
      </c>
      <c r="G38" s="54"/>
      <c r="H38" s="54"/>
      <c r="I38" s="54"/>
      <c r="J38" s="54"/>
    </row>
    <row r="39" spans="1:10" x14ac:dyDescent="0.25">
      <c r="C39" t="str">
        <f>E4</f>
        <v>300dne</v>
      </c>
      <c r="D39" s="54">
        <f>E18/C18</f>
        <v>0.17184896759579926</v>
      </c>
      <c r="E39" s="54">
        <v>0.09</v>
      </c>
      <c r="F39" s="29">
        <f t="shared" ref="F39:F42" si="9">D39/E39-1</f>
        <v>0.90943297328665862</v>
      </c>
    </row>
    <row r="40" spans="1:10" x14ac:dyDescent="0.25">
      <c r="C40" t="str">
        <f>F4</f>
        <v>Нить 150D/48 №149 серый</v>
      </c>
      <c r="D40" s="54">
        <f>F18/C18</f>
        <v>9.4254853142140452E-2</v>
      </c>
      <c r="E40" s="54">
        <v>0.108</v>
      </c>
      <c r="F40" s="29">
        <f t="shared" si="9"/>
        <v>-0.12726987831351433</v>
      </c>
      <c r="G40" s="54"/>
      <c r="H40" s="54"/>
      <c r="I40" s="54"/>
      <c r="J40" s="54"/>
    </row>
    <row r="41" spans="1:10" x14ac:dyDescent="0.25">
      <c r="C41" t="str">
        <f>G4</f>
        <v xml:space="preserve">150dne суровая </v>
      </c>
      <c r="D41" s="54">
        <f>G18/C18</f>
        <v>5.2939965180928139E-2</v>
      </c>
      <c r="E41" s="54">
        <v>8.7999999999999995E-2</v>
      </c>
      <c r="F41" s="29">
        <f t="shared" si="9"/>
        <v>-0.39840948658036202</v>
      </c>
    </row>
    <row r="42" spans="1:10" hidden="1" x14ac:dyDescent="0.25">
      <c r="D42" s="54">
        <f>H18/C18</f>
        <v>0</v>
      </c>
      <c r="E42" s="54"/>
      <c r="F42" s="50" t="e">
        <f t="shared" si="9"/>
        <v>#DIV/0!</v>
      </c>
    </row>
    <row r="45" spans="1:10" x14ac:dyDescent="0.25">
      <c r="A45" s="138"/>
      <c r="B45" s="138"/>
      <c r="C45" s="138"/>
      <c r="D45" s="138"/>
      <c r="E45" s="138"/>
      <c r="F45" s="138"/>
      <c r="G45" s="138"/>
    </row>
  </sheetData>
  <mergeCells count="30">
    <mergeCell ref="A1:E1"/>
    <mergeCell ref="A8:B8"/>
    <mergeCell ref="A9:B9"/>
    <mergeCell ref="A5:B5"/>
    <mergeCell ref="A6:B6"/>
    <mergeCell ref="A7:B7"/>
    <mergeCell ref="A23:B23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1:B21"/>
    <mergeCell ref="A22:B22"/>
    <mergeCell ref="A45:G4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ageMargins left="0.70866141732283472" right="0.70866141732283472" top="0.74803149606299213" bottom="0.74803149606299213" header="0.31496062992125984" footer="0.31496062992125984"/>
  <pageSetup paperSize="9" scale="7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workbookViewId="0">
      <selection activeCell="G4" sqref="G4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7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212</v>
      </c>
      <c r="B1" s="138"/>
      <c r="C1" s="138"/>
      <c r="D1" s="138"/>
      <c r="E1" s="138"/>
    </row>
    <row r="2" spans="1:10" x14ac:dyDescent="0.25">
      <c r="A2" s="37"/>
      <c r="B2" s="54"/>
      <c r="C2" s="54"/>
      <c r="D2" s="54"/>
      <c r="E2" s="54"/>
    </row>
    <row r="3" spans="1:10" x14ac:dyDescent="0.25">
      <c r="A3" s="37" t="s">
        <v>213</v>
      </c>
      <c r="B3" t="s">
        <v>221</v>
      </c>
    </row>
    <row r="4" spans="1:10" ht="45" x14ac:dyDescent="0.25">
      <c r="D4" s="38" t="s">
        <v>149</v>
      </c>
      <c r="E4" s="38" t="s">
        <v>182</v>
      </c>
      <c r="F4" s="38" t="s">
        <v>214</v>
      </c>
      <c r="G4" s="38" t="s">
        <v>215</v>
      </c>
      <c r="H4" s="4"/>
      <c r="I4" s="4"/>
      <c r="J4" s="4"/>
    </row>
    <row r="5" spans="1:10" ht="15" customHeight="1" x14ac:dyDescent="0.25">
      <c r="A5" s="160" t="s">
        <v>216</v>
      </c>
      <c r="B5" s="160"/>
      <c r="C5" s="59">
        <v>136.13999999999999</v>
      </c>
      <c r="D5">
        <f t="shared" ref="D5:J17" si="0">$C5/$C$18*D$18</f>
        <v>7.89092292450961</v>
      </c>
      <c r="E5">
        <f t="shared" si="0"/>
        <v>18.148403407965127</v>
      </c>
      <c r="F5">
        <f t="shared" si="0"/>
        <v>28.59830156528631</v>
      </c>
      <c r="G5">
        <f t="shared" si="0"/>
        <v>23.85619496730731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60" t="s">
        <v>217</v>
      </c>
      <c r="B6" s="160"/>
      <c r="C6" s="59">
        <v>155.96</v>
      </c>
      <c r="D6">
        <f t="shared" si="0"/>
        <v>9.039726306056405</v>
      </c>
      <c r="E6">
        <f t="shared" si="0"/>
        <v>20.790546463245494</v>
      </c>
      <c r="F6">
        <f t="shared" si="0"/>
        <v>32.761797503467413</v>
      </c>
      <c r="G6">
        <f t="shared" si="0"/>
        <v>27.3293092926491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60" t="s">
        <v>218</v>
      </c>
      <c r="B7" s="160"/>
      <c r="C7" s="59">
        <v>157.66</v>
      </c>
      <c r="D7">
        <f t="shared" si="0"/>
        <v>9.1382614094181367</v>
      </c>
      <c r="E7">
        <f t="shared" si="0"/>
        <v>21.017168218743809</v>
      </c>
      <c r="F7">
        <f t="shared" si="0"/>
        <v>33.11890865860908</v>
      </c>
      <c r="G7">
        <f t="shared" si="0"/>
        <v>27.627205072320191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x14ac:dyDescent="0.25">
      <c r="A8" s="160" t="s">
        <v>219</v>
      </c>
      <c r="B8" s="160"/>
      <c r="C8" s="59">
        <v>157.27000000000001</v>
      </c>
      <c r="D8">
        <f t="shared" si="0"/>
        <v>9.115656297470446</v>
      </c>
      <c r="E8">
        <f t="shared" si="0"/>
        <v>20.965178521894199</v>
      </c>
      <c r="F8">
        <f t="shared" si="0"/>
        <v>33.036983158311877</v>
      </c>
      <c r="G8">
        <f t="shared" si="0"/>
        <v>27.558864275807416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.75" thickBot="1" x14ac:dyDescent="0.3">
      <c r="A9" s="160" t="s">
        <v>244</v>
      </c>
      <c r="B9" s="160"/>
      <c r="C9" s="59">
        <v>150.02000000000001</v>
      </c>
      <c r="D9">
        <f t="shared" si="0"/>
        <v>8.6954330625454084</v>
      </c>
      <c r="E9">
        <f t="shared" si="0"/>
        <v>19.99870338815138</v>
      </c>
      <c r="F9">
        <f t="shared" si="0"/>
        <v>31.514009114325347</v>
      </c>
      <c r="G9">
        <f t="shared" si="0"/>
        <v>26.288426391915994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t="15.75" hidden="1" thickBot="1" x14ac:dyDescent="0.3">
      <c r="A10" s="148"/>
      <c r="B10" s="148"/>
      <c r="C10" s="26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idden="1" x14ac:dyDescent="0.25">
      <c r="A11" s="148"/>
      <c r="B11" s="148"/>
      <c r="C11" s="26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757.05</v>
      </c>
      <c r="D18" s="2">
        <v>43.88</v>
      </c>
      <c r="E18" s="2">
        <v>100.92</v>
      </c>
      <c r="F18" s="2">
        <v>159.03</v>
      </c>
      <c r="G18" s="2">
        <v>132.66</v>
      </c>
      <c r="H18" s="2"/>
      <c r="I18" s="2"/>
      <c r="J18" s="2"/>
    </row>
    <row r="20" spans="1:10" s="47" customFormat="1" ht="27" customHeight="1" x14ac:dyDescent="0.25">
      <c r="D20" s="38" t="str">
        <f t="shared" ref="D20:F20" si="2">D4</f>
        <v>150dne суровая Турция</v>
      </c>
      <c r="E20" s="38" t="str">
        <f t="shared" si="2"/>
        <v>300dne Турция</v>
      </c>
      <c r="F20" s="38" t="str">
        <f t="shared" si="2"/>
        <v>Нить 150D/48 №327 горчичный</v>
      </c>
      <c r="G20" s="38" t="str">
        <f>G4</f>
        <v xml:space="preserve">150dne суровая </v>
      </c>
      <c r="H20" s="48">
        <f t="shared" ref="H20:J20" si="3">H4</f>
        <v>0</v>
      </c>
      <c r="I20" s="48">
        <f t="shared" si="3"/>
        <v>0</v>
      </c>
      <c r="J20" s="48">
        <f t="shared" si="3"/>
        <v>0</v>
      </c>
    </row>
    <row r="21" spans="1:10" x14ac:dyDescent="0.25">
      <c r="A21" s="141" t="str">
        <f>A5</f>
        <v xml:space="preserve">Производство 7605 от 25.12.2025 </v>
      </c>
      <c r="B21" s="141"/>
      <c r="C21" s="22">
        <f>C5</f>
        <v>136.13999999999999</v>
      </c>
      <c r="D21">
        <f>ROUND(D5,3)</f>
        <v>7.891</v>
      </c>
      <c r="E21">
        <f t="shared" ref="E21:J33" si="4">ROUND(E5,3)</f>
        <v>18.148</v>
      </c>
      <c r="F21">
        <f t="shared" si="4"/>
        <v>28.597999999999999</v>
      </c>
      <c r="G21">
        <f t="shared" si="4"/>
        <v>23.856000000000002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ref="A22:A33" si="5">A6</f>
        <v xml:space="preserve">Производство 7653 от 26.12.2025 </v>
      </c>
      <c r="B22" s="141"/>
      <c r="C22" s="22">
        <f t="shared" ref="C22:C33" si="6">C6</f>
        <v>155.96</v>
      </c>
      <c r="D22">
        <f t="shared" ref="D22:G33" si="7">ROUND(D6,3)</f>
        <v>9.0399999999999991</v>
      </c>
      <c r="E22">
        <f t="shared" si="7"/>
        <v>20.791</v>
      </c>
      <c r="F22">
        <f t="shared" si="7"/>
        <v>32.762</v>
      </c>
      <c r="G22">
        <f t="shared" si="7"/>
        <v>27.329000000000001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x14ac:dyDescent="0.25">
      <c r="A23" s="141" t="str">
        <f t="shared" si="5"/>
        <v xml:space="preserve">Производство 7759 от 29.12.2025 </v>
      </c>
      <c r="B23" s="141"/>
      <c r="C23" s="22">
        <f t="shared" si="6"/>
        <v>157.66</v>
      </c>
      <c r="D23">
        <f t="shared" si="7"/>
        <v>9.1379999999999999</v>
      </c>
      <c r="E23">
        <f t="shared" si="7"/>
        <v>21.016999999999999</v>
      </c>
      <c r="F23">
        <f t="shared" si="7"/>
        <v>33.119</v>
      </c>
      <c r="G23">
        <f t="shared" si="7"/>
        <v>27.626999999999999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x14ac:dyDescent="0.25">
      <c r="A24" s="141" t="str">
        <f t="shared" si="5"/>
        <v xml:space="preserve">Производство 7769 от 30.12.2025 </v>
      </c>
      <c r="B24" s="141"/>
      <c r="C24" s="22">
        <f t="shared" si="6"/>
        <v>157.27000000000001</v>
      </c>
      <c r="D24">
        <f t="shared" si="7"/>
        <v>9.1159999999999997</v>
      </c>
      <c r="E24">
        <f t="shared" si="7"/>
        <v>20.965</v>
      </c>
      <c r="F24">
        <f t="shared" si="7"/>
        <v>33.036999999999999</v>
      </c>
      <c r="G24">
        <f t="shared" si="7"/>
        <v>27.559000000000001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ht="15.75" thickBot="1" x14ac:dyDescent="0.3">
      <c r="A25" s="141" t="str">
        <f t="shared" si="5"/>
        <v xml:space="preserve">Производство 5 от 05.01.2026 </v>
      </c>
      <c r="B25" s="141"/>
      <c r="C25" s="22">
        <f t="shared" si="6"/>
        <v>150.02000000000001</v>
      </c>
      <c r="D25">
        <f t="shared" si="7"/>
        <v>8.6950000000000003</v>
      </c>
      <c r="E25">
        <f t="shared" si="7"/>
        <v>19.998999999999999</v>
      </c>
      <c r="F25">
        <f t="shared" si="7"/>
        <v>31.513999999999999</v>
      </c>
      <c r="G25">
        <f t="shared" si="7"/>
        <v>26.288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idden="1" x14ac:dyDescent="0.25">
      <c r="A26" s="141">
        <f t="shared" si="5"/>
        <v>0</v>
      </c>
      <c r="B26" s="141"/>
      <c r="C26" s="22">
        <f t="shared" si="6"/>
        <v>0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idden="1" x14ac:dyDescent="0.25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idden="1" x14ac:dyDescent="0.25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idden="1" x14ac:dyDescent="0.25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idden="1" x14ac:dyDescent="0.25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idden="1" x14ac:dyDescent="0.25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idden="1" x14ac:dyDescent="0.25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757.05</v>
      </c>
      <c r="D34" s="2">
        <f>SUM(D21:D33)</f>
        <v>43.879999999999995</v>
      </c>
      <c r="E34" s="2">
        <f>SUM(E21:E33)</f>
        <v>100.92</v>
      </c>
      <c r="F34" s="2">
        <f t="shared" ref="F34:J34" si="8">SUM(F21:F33)</f>
        <v>159.03</v>
      </c>
      <c r="G34" s="2">
        <f t="shared" si="8"/>
        <v>132.65899999999999</v>
      </c>
      <c r="H34" s="2">
        <f t="shared" si="8"/>
        <v>0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>150dne суровая Турция</v>
      </c>
      <c r="D38" s="54">
        <f>(D18+G18)/C18</f>
        <v>0.23319463707813223</v>
      </c>
      <c r="E38" s="54">
        <v>0.28100000000000003</v>
      </c>
      <c r="F38" s="29">
        <f>D38/E38-1</f>
        <v>-0.17012584669703845</v>
      </c>
      <c r="G38" s="54"/>
      <c r="H38" s="54"/>
      <c r="I38" s="54"/>
      <c r="J38" s="54"/>
    </row>
    <row r="39" spans="1:10" x14ac:dyDescent="0.25">
      <c r="C39" t="str">
        <f>E4</f>
        <v>300dne Турция</v>
      </c>
      <c r="D39" s="54">
        <f>E18/C18</f>
        <v>0.13330691499900932</v>
      </c>
      <c r="E39" s="54">
        <v>0.187</v>
      </c>
      <c r="F39" s="29">
        <f t="shared" ref="F39:F42" si="9">D39/E39-1</f>
        <v>-0.28712879679674164</v>
      </c>
    </row>
    <row r="40" spans="1:10" x14ac:dyDescent="0.25">
      <c r="C40" t="str">
        <f>F4</f>
        <v>Нить 150D/48 №327 горчичный</v>
      </c>
      <c r="D40" s="54">
        <f>F18/C18</f>
        <v>0.21006538537745195</v>
      </c>
      <c r="E40" s="54">
        <v>0.108</v>
      </c>
      <c r="F40" s="29">
        <f t="shared" si="9"/>
        <v>0.94504986460603657</v>
      </c>
      <c r="G40" s="54"/>
      <c r="H40" s="54"/>
      <c r="I40" s="54"/>
      <c r="J40" s="54"/>
    </row>
    <row r="41" spans="1:10" hidden="1" x14ac:dyDescent="0.25">
      <c r="C41" t="str">
        <f>G4</f>
        <v xml:space="preserve">150dne суровая </v>
      </c>
      <c r="D41" s="54">
        <f>G18/C18</f>
        <v>0.17523281157123044</v>
      </c>
      <c r="E41" s="54">
        <v>8.7999999999999995E-2</v>
      </c>
      <c r="F41" s="29">
        <f t="shared" si="9"/>
        <v>0.99128194967307337</v>
      </c>
    </row>
    <row r="42" spans="1:10" hidden="1" x14ac:dyDescent="0.25">
      <c r="C42" t="str">
        <f>G4</f>
        <v xml:space="preserve">150dne суровая </v>
      </c>
      <c r="D42" s="54">
        <f>G18/C18</f>
        <v>0.17523281157123044</v>
      </c>
      <c r="E42" s="54">
        <v>8.5999999999999993E-2</v>
      </c>
      <c r="F42" s="50">
        <f t="shared" si="9"/>
        <v>1.0375908322236098</v>
      </c>
    </row>
    <row r="45" spans="1:10" x14ac:dyDescent="0.25">
      <c r="A45" s="138" t="s">
        <v>220</v>
      </c>
      <c r="B45" s="138"/>
      <c r="C45" s="138"/>
      <c r="D45" s="138"/>
      <c r="E45" s="138"/>
      <c r="F45" s="138"/>
      <c r="G45" s="138"/>
    </row>
  </sheetData>
  <mergeCells count="30">
    <mergeCell ref="A15:B15"/>
    <mergeCell ref="A1:E1"/>
    <mergeCell ref="A25:B25"/>
    <mergeCell ref="A26:B26"/>
    <mergeCell ref="A12:B12"/>
    <mergeCell ref="A13:B13"/>
    <mergeCell ref="A14:B14"/>
    <mergeCell ref="A9:B9"/>
    <mergeCell ref="A27:B27"/>
    <mergeCell ref="A28:B28"/>
    <mergeCell ref="A29:B29"/>
    <mergeCell ref="A5:B5"/>
    <mergeCell ref="A6:B6"/>
    <mergeCell ref="A7:B7"/>
    <mergeCell ref="A8:B8"/>
    <mergeCell ref="A24:B24"/>
    <mergeCell ref="A16:B16"/>
    <mergeCell ref="A17:B17"/>
    <mergeCell ref="A18:B18"/>
    <mergeCell ref="A21:B21"/>
    <mergeCell ref="A22:B22"/>
    <mergeCell ref="A23:B23"/>
    <mergeCell ref="A10:B10"/>
    <mergeCell ref="A11:B11"/>
    <mergeCell ref="A45:G45"/>
    <mergeCell ref="A30:B30"/>
    <mergeCell ref="A31:B31"/>
    <mergeCell ref="A32:B32"/>
    <mergeCell ref="A33:B33"/>
    <mergeCell ref="A34:B34"/>
  </mergeCells>
  <pageMargins left="0.70866141732283472" right="0.70866141732283472" top="0.74803149606299213" bottom="0.74803149606299213" header="0.31496062992125984" footer="0.31496062992125984"/>
  <pageSetup paperSize="9" scale="7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workbookViewId="0">
      <selection activeCell="M43" sqref="M43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341</v>
      </c>
      <c r="B1" s="138"/>
      <c r="C1" s="138"/>
      <c r="D1" s="138"/>
      <c r="E1" s="138"/>
    </row>
    <row r="2" spans="1:10" x14ac:dyDescent="0.25">
      <c r="A2" s="37"/>
      <c r="B2" s="78"/>
      <c r="C2" s="78"/>
      <c r="D2" s="78"/>
      <c r="E2" s="66" t="s">
        <v>343</v>
      </c>
      <c r="F2" s="66" t="s">
        <v>335</v>
      </c>
    </row>
    <row r="3" spans="1:10" x14ac:dyDescent="0.25">
      <c r="A3" s="37" t="s">
        <v>342</v>
      </c>
      <c r="D3" t="s">
        <v>199</v>
      </c>
    </row>
    <row r="4" spans="1:10" ht="30" x14ac:dyDescent="0.25">
      <c r="D4" s="38" t="s">
        <v>344</v>
      </c>
      <c r="E4" s="38" t="s">
        <v>345</v>
      </c>
      <c r="F4" s="38" t="s">
        <v>346</v>
      </c>
      <c r="G4" s="38" t="s">
        <v>7</v>
      </c>
      <c r="H4" s="4"/>
      <c r="I4" s="4"/>
      <c r="J4" s="4"/>
    </row>
    <row r="5" spans="1:10" ht="15" customHeight="1" x14ac:dyDescent="0.25">
      <c r="A5" s="162" t="s">
        <v>347</v>
      </c>
      <c r="B5" s="162"/>
      <c r="C5" s="83">
        <v>110.1</v>
      </c>
      <c r="D5">
        <f t="shared" ref="D5:J17" si="0">$C5/$C$18*D$18</f>
        <v>23.196202207412625</v>
      </c>
      <c r="E5">
        <f t="shared" si="0"/>
        <v>13.136843116357998</v>
      </c>
      <c r="F5">
        <f t="shared" si="0"/>
        <v>10.404826942692349</v>
      </c>
      <c r="G5">
        <f t="shared" si="0"/>
        <v>28.273975309545481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62" t="s">
        <v>348</v>
      </c>
      <c r="B6" s="162"/>
      <c r="C6" s="83">
        <v>136.19</v>
      </c>
      <c r="D6">
        <f t="shared" si="0"/>
        <v>28.692922603338104</v>
      </c>
      <c r="E6">
        <f t="shared" si="0"/>
        <v>16.249833460643014</v>
      </c>
      <c r="F6">
        <f t="shared" si="0"/>
        <v>12.870421265442969</v>
      </c>
      <c r="G6">
        <f t="shared" si="0"/>
        <v>34.973957287983644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62" t="s">
        <v>349</v>
      </c>
      <c r="B7" s="162"/>
      <c r="C7" s="83">
        <v>134.26</v>
      </c>
      <c r="D7">
        <f t="shared" si="0"/>
        <v>28.286304344843042</v>
      </c>
      <c r="E7">
        <f t="shared" si="0"/>
        <v>16.019550924634192</v>
      </c>
      <c r="F7">
        <f t="shared" si="0"/>
        <v>12.688029657819024</v>
      </c>
      <c r="G7">
        <f t="shared" si="0"/>
        <v>34.47832811134947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x14ac:dyDescent="0.25">
      <c r="A8" s="162" t="s">
        <v>350</v>
      </c>
      <c r="B8" s="162"/>
      <c r="C8" s="83">
        <v>66.38</v>
      </c>
      <c r="D8">
        <f t="shared" si="0"/>
        <v>13.98513989580427</v>
      </c>
      <c r="E8">
        <f t="shared" si="0"/>
        <v>7.920287430189318</v>
      </c>
      <c r="F8">
        <f t="shared" si="0"/>
        <v>6.2731372611800005</v>
      </c>
      <c r="G8">
        <f t="shared" si="0"/>
        <v>17.046562044029329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x14ac:dyDescent="0.25">
      <c r="A9" s="162" t="s">
        <v>351</v>
      </c>
      <c r="B9" s="162"/>
      <c r="C9" s="83">
        <v>393.01</v>
      </c>
      <c r="D9">
        <f t="shared" si="0"/>
        <v>82.800539777795052</v>
      </c>
      <c r="E9">
        <f t="shared" si="0"/>
        <v>46.892922008718045</v>
      </c>
      <c r="F9">
        <f t="shared" si="0"/>
        <v>37.14079052450063</v>
      </c>
      <c r="G9">
        <f t="shared" si="0"/>
        <v>100.92602212901426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x14ac:dyDescent="0.25">
      <c r="A10" s="162" t="s">
        <v>352</v>
      </c>
      <c r="B10" s="162"/>
      <c r="C10" s="83">
        <v>710</v>
      </c>
      <c r="D10">
        <f t="shared" si="0"/>
        <v>149.58495519766544</v>
      </c>
      <c r="E10">
        <f t="shared" si="0"/>
        <v>84.715337080964375</v>
      </c>
      <c r="F10">
        <f t="shared" si="0"/>
        <v>67.097430783937938</v>
      </c>
      <c r="G10">
        <f t="shared" si="0"/>
        <v>182.32990435765024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thickBot="1" x14ac:dyDescent="0.3">
      <c r="A11" s="162" t="s">
        <v>353</v>
      </c>
      <c r="B11" s="162"/>
      <c r="C11" s="83">
        <v>636.33000000000004</v>
      </c>
      <c r="D11">
        <f t="shared" si="0"/>
        <v>134.0639359731415</v>
      </c>
      <c r="E11">
        <f t="shared" si="0"/>
        <v>75.92522597849306</v>
      </c>
      <c r="F11">
        <f t="shared" si="0"/>
        <v>60.135363564427095</v>
      </c>
      <c r="G11">
        <f t="shared" si="0"/>
        <v>163.41125076042761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3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2186.27</v>
      </c>
      <c r="D18" s="2">
        <v>460.61</v>
      </c>
      <c r="E18" s="2">
        <v>260.86</v>
      </c>
      <c r="F18" s="80">
        <v>206.61</v>
      </c>
      <c r="G18" s="2">
        <v>561.44000000000005</v>
      </c>
      <c r="H18" s="2"/>
      <c r="I18" s="2"/>
      <c r="J18" s="2"/>
    </row>
    <row r="20" spans="1:10" s="47" customFormat="1" ht="27" customHeight="1" x14ac:dyDescent="0.25">
      <c r="D20" s="38" t="str">
        <f t="shared" ref="D20:F20" si="2">D4</f>
        <v>пряжа вискозн. 20текс</v>
      </c>
      <c r="E20" s="38" t="str">
        <f t="shared" si="2"/>
        <v>150 суровая</v>
      </c>
      <c r="F20" s="38" t="str">
        <f t="shared" si="2"/>
        <v>167 трилобал</v>
      </c>
      <c r="G20" s="38" t="str">
        <f>G4</f>
        <v>600dne</v>
      </c>
      <c r="H20" s="48">
        <f t="shared" ref="H20:J20" si="3">H4</f>
        <v>0</v>
      </c>
      <c r="I20" s="48">
        <f t="shared" si="3"/>
        <v>0</v>
      </c>
      <c r="J20" s="48">
        <f t="shared" si="3"/>
        <v>0</v>
      </c>
    </row>
    <row r="21" spans="1:10" x14ac:dyDescent="0.25">
      <c r="A21" s="141" t="str">
        <f>A5</f>
        <v xml:space="preserve">Производство 308 от 20.01.2026 </v>
      </c>
      <c r="B21" s="141"/>
      <c r="C21" s="22">
        <f>C5</f>
        <v>110.1</v>
      </c>
      <c r="D21">
        <f>ROUND(D5,3)</f>
        <v>23.196000000000002</v>
      </c>
      <c r="E21">
        <f t="shared" ref="E21:J33" si="4">ROUND(E5,3)</f>
        <v>13.137</v>
      </c>
      <c r="F21">
        <f t="shared" si="4"/>
        <v>10.404999999999999</v>
      </c>
      <c r="G21">
        <f t="shared" si="4"/>
        <v>28.274000000000001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ref="A22:A33" si="5">A6</f>
        <v xml:space="preserve">Производство 321 от 21.01.2026 </v>
      </c>
      <c r="B22" s="141"/>
      <c r="C22" s="22">
        <f t="shared" ref="C22:C33" si="6">C6</f>
        <v>136.19</v>
      </c>
      <c r="D22">
        <f t="shared" ref="D22:G33" si="7">ROUND(D6,3)</f>
        <v>28.693000000000001</v>
      </c>
      <c r="E22">
        <f t="shared" si="7"/>
        <v>16.25</v>
      </c>
      <c r="F22">
        <f t="shared" si="7"/>
        <v>12.87</v>
      </c>
      <c r="G22">
        <f t="shared" si="7"/>
        <v>34.973999999999997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x14ac:dyDescent="0.25">
      <c r="A23" s="141" t="str">
        <f t="shared" si="5"/>
        <v xml:space="preserve">Производство 422 от 22.01.2026 </v>
      </c>
      <c r="B23" s="141"/>
      <c r="C23" s="22">
        <f t="shared" si="6"/>
        <v>134.26</v>
      </c>
      <c r="D23">
        <f t="shared" si="7"/>
        <v>28.286000000000001</v>
      </c>
      <c r="E23">
        <f t="shared" si="7"/>
        <v>16.02</v>
      </c>
      <c r="F23">
        <f t="shared" si="7"/>
        <v>12.688000000000001</v>
      </c>
      <c r="G23">
        <f t="shared" si="7"/>
        <v>34.478000000000002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x14ac:dyDescent="0.25">
      <c r="A24" s="141" t="str">
        <f t="shared" si="5"/>
        <v xml:space="preserve">Производство 755 от 03.02.2026 </v>
      </c>
      <c r="B24" s="141"/>
      <c r="C24" s="22">
        <f t="shared" si="6"/>
        <v>66.38</v>
      </c>
      <c r="D24">
        <f t="shared" si="7"/>
        <v>13.984999999999999</v>
      </c>
      <c r="E24">
        <f t="shared" si="7"/>
        <v>7.92</v>
      </c>
      <c r="F24">
        <f t="shared" si="7"/>
        <v>6.2729999999999997</v>
      </c>
      <c r="G24">
        <f t="shared" si="7"/>
        <v>17.047000000000001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x14ac:dyDescent="0.25">
      <c r="A25" s="141" t="str">
        <f t="shared" si="5"/>
        <v xml:space="preserve">Производство 776 от 04.02.2026 </v>
      </c>
      <c r="B25" s="141"/>
      <c r="C25" s="22">
        <f t="shared" si="6"/>
        <v>393.01</v>
      </c>
      <c r="D25">
        <f t="shared" si="7"/>
        <v>82.801000000000002</v>
      </c>
      <c r="E25">
        <f t="shared" si="7"/>
        <v>46.893000000000001</v>
      </c>
      <c r="F25">
        <f t="shared" si="7"/>
        <v>37.140999999999998</v>
      </c>
      <c r="G25">
        <f t="shared" si="7"/>
        <v>100.926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x14ac:dyDescent="0.25">
      <c r="A26" s="141" t="str">
        <f t="shared" si="5"/>
        <v xml:space="preserve">Производство 790 от 05.02.2026 </v>
      </c>
      <c r="B26" s="141"/>
      <c r="C26" s="22">
        <f t="shared" si="6"/>
        <v>710</v>
      </c>
      <c r="D26">
        <f t="shared" si="7"/>
        <v>149.58500000000001</v>
      </c>
      <c r="E26">
        <f t="shared" si="7"/>
        <v>84.715000000000003</v>
      </c>
      <c r="F26">
        <f t="shared" si="7"/>
        <v>67.096999999999994</v>
      </c>
      <c r="G26">
        <f t="shared" si="7"/>
        <v>182.33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t="15.75" thickBot="1" x14ac:dyDescent="0.3">
      <c r="A27" s="141" t="str">
        <f t="shared" si="5"/>
        <v xml:space="preserve">Производство 852 от 06.02.2026 </v>
      </c>
      <c r="B27" s="141"/>
      <c r="C27" s="22">
        <f t="shared" si="6"/>
        <v>636.33000000000004</v>
      </c>
      <c r="D27">
        <f t="shared" si="7"/>
        <v>134.06399999999999</v>
      </c>
      <c r="E27">
        <f t="shared" si="7"/>
        <v>75.924999999999997</v>
      </c>
      <c r="F27">
        <f t="shared" si="7"/>
        <v>60.134999999999998</v>
      </c>
      <c r="G27">
        <f t="shared" si="7"/>
        <v>163.411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idden="1" x14ac:dyDescent="0.25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idden="1" x14ac:dyDescent="0.25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idden="1" x14ac:dyDescent="0.25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idden="1" x14ac:dyDescent="0.25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idden="1" x14ac:dyDescent="0.25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2186.27</v>
      </c>
      <c r="D34" s="2">
        <f>SUM(D21:D33)</f>
        <v>460.61</v>
      </c>
      <c r="E34" s="2">
        <f>SUM(E21:E33)</f>
        <v>260.86</v>
      </c>
      <c r="F34" s="80">
        <f t="shared" ref="F34:J34" si="8">SUM(F21:F33)</f>
        <v>206.60899999999998</v>
      </c>
      <c r="G34" s="2">
        <f t="shared" si="8"/>
        <v>561.44000000000005</v>
      </c>
      <c r="H34" s="2">
        <f t="shared" si="8"/>
        <v>0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>пряжа вискозн. 20текс</v>
      </c>
      <c r="D38" s="78">
        <f>D18/C18</f>
        <v>0.21068303548966963</v>
      </c>
      <c r="E38" s="78">
        <v>0.24199999999999999</v>
      </c>
      <c r="F38" s="29">
        <f>D38/E38-1</f>
        <v>-0.12940894425756344</v>
      </c>
      <c r="G38" s="78"/>
      <c r="H38" s="78"/>
      <c r="I38" s="78"/>
      <c r="J38" s="78"/>
    </row>
    <row r="39" spans="1:10" x14ac:dyDescent="0.25">
      <c r="C39" t="str">
        <f>E4</f>
        <v>150 суровая</v>
      </c>
      <c r="D39" s="78">
        <f>E18/C18</f>
        <v>0.11931737617037237</v>
      </c>
      <c r="E39" s="78">
        <v>0.09</v>
      </c>
      <c r="F39" s="29">
        <f t="shared" ref="F39:F41" si="9">D39/E39-1</f>
        <v>0.32574862411524852</v>
      </c>
    </row>
    <row r="40" spans="1:10" x14ac:dyDescent="0.25">
      <c r="C40" t="str">
        <f>F4</f>
        <v>167 трилобал</v>
      </c>
      <c r="D40" s="78">
        <f>F18/C18</f>
        <v>9.4503423639349216E-2</v>
      </c>
      <c r="E40" s="78">
        <v>8.5000000000000006E-2</v>
      </c>
      <c r="F40" s="29">
        <f t="shared" si="9"/>
        <v>0.11180498399234362</v>
      </c>
      <c r="G40" s="78"/>
      <c r="H40" s="78"/>
      <c r="I40" s="78"/>
      <c r="J40" s="78"/>
    </row>
    <row r="41" spans="1:10" x14ac:dyDescent="0.25">
      <c r="C41" t="str">
        <f>G4</f>
        <v>600dne</v>
      </c>
      <c r="D41" s="78">
        <f>G18/C18</f>
        <v>0.25680268219387359</v>
      </c>
      <c r="E41" s="78">
        <v>0.2</v>
      </c>
      <c r="F41" s="29">
        <f t="shared" si="9"/>
        <v>0.28401341096936794</v>
      </c>
    </row>
    <row r="42" spans="1:10" hidden="1" x14ac:dyDescent="0.25">
      <c r="D42" s="78"/>
      <c r="E42" s="78"/>
      <c r="F42" s="50"/>
    </row>
    <row r="45" spans="1:10" x14ac:dyDescent="0.25">
      <c r="A45" s="138"/>
      <c r="B45" s="138"/>
      <c r="C45" s="138"/>
      <c r="D45" s="138"/>
      <c r="E45" s="138"/>
      <c r="F45" s="138"/>
      <c r="G45" s="138"/>
    </row>
  </sheetData>
  <mergeCells count="30">
    <mergeCell ref="A10:B10"/>
    <mergeCell ref="A11:B11"/>
    <mergeCell ref="A1:E1"/>
    <mergeCell ref="A5:B5"/>
    <mergeCell ref="A6:B6"/>
    <mergeCell ref="A7:B7"/>
    <mergeCell ref="A8:B8"/>
    <mergeCell ref="A9:B9"/>
    <mergeCell ref="A32:B32"/>
    <mergeCell ref="A33:B33"/>
    <mergeCell ref="A34:B34"/>
    <mergeCell ref="A45:G45"/>
    <mergeCell ref="A24:B24"/>
    <mergeCell ref="A25:B25"/>
    <mergeCell ref="A26:B26"/>
    <mergeCell ref="A27:B27"/>
    <mergeCell ref="A28:B28"/>
    <mergeCell ref="A29:B29"/>
    <mergeCell ref="A30:B30"/>
    <mergeCell ref="A31:B31"/>
    <mergeCell ref="A23:B23"/>
    <mergeCell ref="A12:B12"/>
    <mergeCell ref="A13:B13"/>
    <mergeCell ref="A14:B14"/>
    <mergeCell ref="A15:B15"/>
    <mergeCell ref="A16:B16"/>
    <mergeCell ref="A17:B17"/>
    <mergeCell ref="A18:B18"/>
    <mergeCell ref="A21:B21"/>
    <mergeCell ref="A22:B2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workbookViewId="0">
      <selection activeCell="R48" sqref="R48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7" hidden="1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229</v>
      </c>
      <c r="B1" s="138"/>
      <c r="C1" s="138"/>
      <c r="D1" s="138"/>
      <c r="E1" s="138"/>
    </row>
    <row r="2" spans="1:10" x14ac:dyDescent="0.25">
      <c r="A2" s="37"/>
      <c r="B2" s="54"/>
      <c r="C2" s="54"/>
      <c r="D2" s="54"/>
      <c r="E2" s="54"/>
    </row>
    <row r="3" spans="1:10" x14ac:dyDescent="0.25">
      <c r="A3" s="37" t="s">
        <v>230</v>
      </c>
      <c r="C3" t="s">
        <v>231</v>
      </c>
    </row>
    <row r="4" spans="1:10" ht="30" x14ac:dyDescent="0.25">
      <c r="D4" s="38" t="s">
        <v>232</v>
      </c>
      <c r="E4" s="38" t="s">
        <v>182</v>
      </c>
      <c r="F4" s="38"/>
      <c r="G4" s="38"/>
      <c r="H4" s="4"/>
      <c r="I4" s="4"/>
      <c r="J4" s="4"/>
    </row>
    <row r="5" spans="1:10" ht="15" customHeight="1" x14ac:dyDescent="0.25">
      <c r="A5" s="163" t="s">
        <v>233</v>
      </c>
      <c r="B5" s="163"/>
      <c r="C5" s="61">
        <v>214.39</v>
      </c>
      <c r="D5">
        <f t="shared" ref="D5:J17" si="0">$C5/$C$18*D$18</f>
        <v>81.996957265421372</v>
      </c>
      <c r="E5">
        <f t="shared" si="0"/>
        <v>6.9499799087749778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thickBot="1" x14ac:dyDescent="0.3">
      <c r="A6" s="163" t="s">
        <v>234</v>
      </c>
      <c r="B6" s="163"/>
      <c r="C6" s="61">
        <v>153.93</v>
      </c>
      <c r="D6">
        <f t="shared" si="0"/>
        <v>58.873042734578632</v>
      </c>
      <c r="E6">
        <f t="shared" si="0"/>
        <v>4.9900200912250217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hidden="1" customHeight="1" thickBot="1" x14ac:dyDescent="0.3">
      <c r="A7" s="161"/>
      <c r="B7" s="161"/>
      <c r="C7" s="60"/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hidden="1" customHeight="1" thickBot="1" x14ac:dyDescent="0.3">
      <c r="A8" s="160"/>
      <c r="B8" s="160"/>
      <c r="C8" s="59"/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.75" hidden="1" thickBot="1" x14ac:dyDescent="0.3">
      <c r="A9" s="154"/>
      <c r="B9" s="154"/>
      <c r="C9" s="49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t="15.75" hidden="1" thickBot="1" x14ac:dyDescent="0.3">
      <c r="A10" s="148"/>
      <c r="B10" s="148"/>
      <c r="C10" s="26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hidden="1" thickBot="1" x14ac:dyDescent="0.3">
      <c r="A11" s="148"/>
      <c r="B11" s="148"/>
      <c r="C11" s="26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368.32</v>
      </c>
      <c r="D18" s="2">
        <v>140.87</v>
      </c>
      <c r="E18" s="2">
        <v>11.94</v>
      </c>
      <c r="F18" s="2"/>
      <c r="G18" s="2"/>
      <c r="H18" s="2"/>
      <c r="I18" s="2"/>
      <c r="J18" s="2"/>
    </row>
    <row r="20" spans="1:10" s="47" customFormat="1" ht="27" customHeight="1" x14ac:dyDescent="0.25">
      <c r="D20" s="38" t="str">
        <f t="shared" ref="D20:F20" si="2">D4</f>
        <v>Нить №3603 черн</v>
      </c>
      <c r="E20" s="38" t="str">
        <f t="shared" si="2"/>
        <v>300dne Турция</v>
      </c>
      <c r="F20" s="38">
        <f t="shared" si="2"/>
        <v>0</v>
      </c>
      <c r="G20" s="38">
        <f>G4</f>
        <v>0</v>
      </c>
      <c r="H20" s="48">
        <f t="shared" ref="H20:J20" si="3">H4</f>
        <v>0</v>
      </c>
      <c r="I20" s="48">
        <f t="shared" si="3"/>
        <v>0</v>
      </c>
      <c r="J20" s="48">
        <f t="shared" si="3"/>
        <v>0</v>
      </c>
    </row>
    <row r="21" spans="1:10" x14ac:dyDescent="0.25">
      <c r="A21" s="141" t="str">
        <f>A5</f>
        <v xml:space="preserve">Производство 7652 от 26.12.2025 </v>
      </c>
      <c r="B21" s="141"/>
      <c r="C21" s="22">
        <f>C5</f>
        <v>214.39</v>
      </c>
      <c r="D21">
        <f>ROUND(D5,3)</f>
        <v>81.997</v>
      </c>
      <c r="E21">
        <f t="shared" ref="E21:J33" si="4">ROUND(E5,3)</f>
        <v>6.95</v>
      </c>
      <c r="F21">
        <f t="shared" si="4"/>
        <v>0</v>
      </c>
      <c r="G21">
        <f t="shared" si="4"/>
        <v>0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ht="15.75" thickBot="1" x14ac:dyDescent="0.3">
      <c r="A22" s="141" t="str">
        <f t="shared" ref="A22:A33" si="5">A6</f>
        <v xml:space="preserve">Производство 7729 от 29.12.2025 </v>
      </c>
      <c r="B22" s="141"/>
      <c r="C22" s="22">
        <f t="shared" ref="C22:C33" si="6">C6</f>
        <v>153.93</v>
      </c>
      <c r="D22">
        <f t="shared" ref="D22:G33" si="7">ROUND(D6,3)</f>
        <v>58.872999999999998</v>
      </c>
      <c r="E22">
        <f t="shared" si="7"/>
        <v>4.99</v>
      </c>
      <c r="F22">
        <f t="shared" si="7"/>
        <v>0</v>
      </c>
      <c r="G22">
        <f t="shared" si="7"/>
        <v>0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ht="15.75" hidden="1" thickBot="1" x14ac:dyDescent="0.3">
      <c r="A23" s="141">
        <f t="shared" si="5"/>
        <v>0</v>
      </c>
      <c r="B23" s="141"/>
      <c r="C23" s="22">
        <f t="shared" si="6"/>
        <v>0</v>
      </c>
      <c r="D23">
        <f t="shared" si="7"/>
        <v>0</v>
      </c>
      <c r="E23">
        <f t="shared" si="7"/>
        <v>0</v>
      </c>
      <c r="F23">
        <f t="shared" si="7"/>
        <v>0</v>
      </c>
      <c r="G23">
        <f t="shared" si="7"/>
        <v>0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ht="15.75" hidden="1" thickBot="1" x14ac:dyDescent="0.3">
      <c r="A24" s="141">
        <f t="shared" si="5"/>
        <v>0</v>
      </c>
      <c r="B24" s="141"/>
      <c r="C24" s="22">
        <f t="shared" si="6"/>
        <v>0</v>
      </c>
      <c r="D24">
        <f t="shared" si="7"/>
        <v>0</v>
      </c>
      <c r="E24">
        <f t="shared" si="7"/>
        <v>0</v>
      </c>
      <c r="F24">
        <f t="shared" si="7"/>
        <v>0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ht="15.75" hidden="1" thickBot="1" x14ac:dyDescent="0.3">
      <c r="A25" s="141">
        <f t="shared" si="5"/>
        <v>0</v>
      </c>
      <c r="B25" s="141"/>
      <c r="C25" s="22">
        <f t="shared" si="6"/>
        <v>0</v>
      </c>
      <c r="D25">
        <f t="shared" si="7"/>
        <v>0</v>
      </c>
      <c r="E25">
        <f t="shared" si="7"/>
        <v>0</v>
      </c>
      <c r="F25">
        <f t="shared" si="7"/>
        <v>0</v>
      </c>
      <c r="G25">
        <f t="shared" si="7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t="15.75" hidden="1" thickBot="1" x14ac:dyDescent="0.3">
      <c r="A26" s="141">
        <f t="shared" si="5"/>
        <v>0</v>
      </c>
      <c r="B26" s="141"/>
      <c r="C26" s="22">
        <f t="shared" si="6"/>
        <v>0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t="15.75" hidden="1" thickBot="1" x14ac:dyDescent="0.3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t="15.75" hidden="1" thickBot="1" x14ac:dyDescent="0.3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t="15.75" hidden="1" thickBot="1" x14ac:dyDescent="0.3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t="15.75" hidden="1" thickBot="1" x14ac:dyDescent="0.3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t="15.75" hidden="1" thickBot="1" x14ac:dyDescent="0.3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t="15.75" hidden="1" thickBot="1" x14ac:dyDescent="0.3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368.32</v>
      </c>
      <c r="D34" s="2">
        <f>SUM(D21:D33)</f>
        <v>140.87</v>
      </c>
      <c r="E34" s="2">
        <f>SUM(E21:E33)</f>
        <v>11.940000000000001</v>
      </c>
      <c r="F34" s="2">
        <f t="shared" ref="F34:J34" si="8">SUM(F21:F33)</f>
        <v>0</v>
      </c>
      <c r="G34" s="2">
        <f t="shared" si="8"/>
        <v>0</v>
      </c>
      <c r="H34" s="2">
        <f t="shared" si="8"/>
        <v>0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>Нить №3603 черн</v>
      </c>
      <c r="D38" s="54">
        <f>D18/C18</f>
        <v>0.38246633362293658</v>
      </c>
      <c r="E38" s="54">
        <v>0.39200000000000002</v>
      </c>
      <c r="F38" s="29">
        <f>D38/E38-1</f>
        <v>-2.432057749250871E-2</v>
      </c>
      <c r="G38" s="54"/>
      <c r="H38" s="54"/>
      <c r="I38" s="54"/>
      <c r="J38" s="54"/>
    </row>
    <row r="39" spans="1:10" x14ac:dyDescent="0.25">
      <c r="C39" t="str">
        <f>E4</f>
        <v>300dne Турция</v>
      </c>
      <c r="D39" s="54">
        <f>E18/C18</f>
        <v>3.2417463075586447E-2</v>
      </c>
      <c r="E39" s="54">
        <v>0.13600000000000001</v>
      </c>
      <c r="F39" s="29">
        <f t="shared" ref="F39:F42" si="9">D39/E39-1</f>
        <v>-0.7616363009148055</v>
      </c>
    </row>
    <row r="40" spans="1:10" hidden="1" x14ac:dyDescent="0.25">
      <c r="C40">
        <f>F4</f>
        <v>0</v>
      </c>
      <c r="D40" s="54">
        <f>F18/C18</f>
        <v>0</v>
      </c>
      <c r="E40" s="54">
        <v>0.108</v>
      </c>
      <c r="F40" s="29">
        <f t="shared" si="9"/>
        <v>-1</v>
      </c>
      <c r="G40" s="54"/>
      <c r="H40" s="54"/>
      <c r="I40" s="54"/>
      <c r="J40" s="54"/>
    </row>
    <row r="41" spans="1:10" hidden="1" x14ac:dyDescent="0.25">
      <c r="C41">
        <f>G4</f>
        <v>0</v>
      </c>
      <c r="D41" s="54">
        <f>G18/C18</f>
        <v>0</v>
      </c>
      <c r="E41" s="54">
        <v>8.7999999999999995E-2</v>
      </c>
      <c r="F41" s="29">
        <f t="shared" si="9"/>
        <v>-1</v>
      </c>
    </row>
    <row r="42" spans="1:10" hidden="1" x14ac:dyDescent="0.25">
      <c r="D42" s="54">
        <f>H18/C18</f>
        <v>0</v>
      </c>
      <c r="E42" s="54"/>
      <c r="F42" s="50" t="e">
        <f t="shared" si="9"/>
        <v>#DIV/0!</v>
      </c>
    </row>
    <row r="45" spans="1:10" x14ac:dyDescent="0.25">
      <c r="A45" s="138"/>
      <c r="B45" s="138"/>
      <c r="C45" s="138"/>
      <c r="D45" s="138"/>
      <c r="E45" s="138"/>
      <c r="F45" s="138"/>
      <c r="G45" s="138"/>
    </row>
  </sheetData>
  <mergeCells count="30">
    <mergeCell ref="A1:E1"/>
    <mergeCell ref="A7:B7"/>
    <mergeCell ref="A8:B8"/>
    <mergeCell ref="A9:B9"/>
    <mergeCell ref="A5:B5"/>
    <mergeCell ref="A6:B6"/>
    <mergeCell ref="A23:B23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1:B21"/>
    <mergeCell ref="A22:B22"/>
    <mergeCell ref="A45:G4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workbookViewId="0">
      <selection activeCell="D42" sqref="D42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235</v>
      </c>
      <c r="B1" s="138"/>
      <c r="C1" s="138"/>
      <c r="D1" s="138"/>
      <c r="E1" s="138"/>
    </row>
    <row r="2" spans="1:10" x14ac:dyDescent="0.25">
      <c r="A2" s="37"/>
      <c r="B2" s="54"/>
      <c r="C2" s="54"/>
      <c r="D2" s="54"/>
      <c r="E2" s="54"/>
    </row>
    <row r="3" spans="1:10" x14ac:dyDescent="0.25">
      <c r="A3" s="37" t="s">
        <v>236</v>
      </c>
      <c r="D3" t="s">
        <v>221</v>
      </c>
    </row>
    <row r="4" spans="1:10" ht="30" x14ac:dyDescent="0.25">
      <c r="D4" s="38" t="s">
        <v>86</v>
      </c>
      <c r="E4" s="38" t="s">
        <v>182</v>
      </c>
      <c r="F4" s="38" t="s">
        <v>237</v>
      </c>
      <c r="G4" s="38" t="s">
        <v>44</v>
      </c>
      <c r="H4" s="4"/>
      <c r="I4" s="4"/>
      <c r="J4" s="4"/>
    </row>
    <row r="5" spans="1:10" ht="15" customHeight="1" x14ac:dyDescent="0.25">
      <c r="A5" s="164" t="s">
        <v>238</v>
      </c>
      <c r="B5" s="164"/>
      <c r="C5" s="62">
        <v>167.58</v>
      </c>
      <c r="D5">
        <f t="shared" ref="D5:J17" si="0">$C5/$C$18*D$18</f>
        <v>32.775206781220696</v>
      </c>
      <c r="E5">
        <f t="shared" si="0"/>
        <v>24.406437912544909</v>
      </c>
      <c r="F5">
        <f t="shared" si="0"/>
        <v>18.450140154665633</v>
      </c>
      <c r="G5">
        <f t="shared" si="0"/>
        <v>16.696020102992446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64" t="s">
        <v>239</v>
      </c>
      <c r="B6" s="164"/>
      <c r="C6" s="62">
        <v>171.8</v>
      </c>
      <c r="D6">
        <f t="shared" si="0"/>
        <v>33.600552124440355</v>
      </c>
      <c r="E6">
        <f t="shared" si="0"/>
        <v>25.021040896140441</v>
      </c>
      <c r="F6">
        <f t="shared" si="0"/>
        <v>18.914751632483323</v>
      </c>
      <c r="G6">
        <f t="shared" si="0"/>
        <v>17.116459325063264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64" t="s">
        <v>240</v>
      </c>
      <c r="B7" s="164"/>
      <c r="C7" s="62">
        <v>275.76</v>
      </c>
      <c r="D7">
        <f t="shared" si="0"/>
        <v>53.932993328496345</v>
      </c>
      <c r="E7">
        <f t="shared" si="0"/>
        <v>40.16182908917164</v>
      </c>
      <c r="F7">
        <f t="shared" si="0"/>
        <v>30.360488417774164</v>
      </c>
      <c r="G7">
        <f t="shared" si="0"/>
        <v>27.474009449822152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x14ac:dyDescent="0.25">
      <c r="A8" s="164" t="s">
        <v>241</v>
      </c>
      <c r="B8" s="164"/>
      <c r="C8" s="62">
        <v>273.08</v>
      </c>
      <c r="D8">
        <f t="shared" si="0"/>
        <v>53.408840361712301</v>
      </c>
      <c r="E8">
        <f t="shared" si="0"/>
        <v>39.771512502433247</v>
      </c>
      <c r="F8">
        <f t="shared" si="0"/>
        <v>30.065427100107954</v>
      </c>
      <c r="G8">
        <f t="shared" si="0"/>
        <v>27.207000654762961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x14ac:dyDescent="0.25">
      <c r="A9" s="164" t="s">
        <v>242</v>
      </c>
      <c r="B9" s="164"/>
      <c r="C9" s="62">
        <v>193.13</v>
      </c>
      <c r="D9">
        <f t="shared" si="0"/>
        <v>37.772262117538801</v>
      </c>
      <c r="E9">
        <f t="shared" si="0"/>
        <v>28.127553133129236</v>
      </c>
      <c r="F9">
        <f t="shared" si="0"/>
        <v>21.263131448087918</v>
      </c>
      <c r="G9">
        <f t="shared" si="0"/>
        <v>19.2415703693217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t="15.75" thickBot="1" x14ac:dyDescent="0.3">
      <c r="A10" s="164" t="s">
        <v>243</v>
      </c>
      <c r="B10" s="164"/>
      <c r="C10" s="62">
        <v>48.83</v>
      </c>
      <c r="D10">
        <f t="shared" si="0"/>
        <v>9.5501452865915173</v>
      </c>
      <c r="E10">
        <f t="shared" si="0"/>
        <v>7.1116264665805451</v>
      </c>
      <c r="F10">
        <f t="shared" si="0"/>
        <v>5.3760612468810285</v>
      </c>
      <c r="G10">
        <f t="shared" si="0"/>
        <v>4.8649400980374811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hidden="1" thickBot="1" x14ac:dyDescent="0.3">
      <c r="A11" s="148"/>
      <c r="B11" s="148"/>
      <c r="C11" s="26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1130.1799999999998</v>
      </c>
      <c r="D18" s="2">
        <v>221.04</v>
      </c>
      <c r="E18" s="2">
        <v>164.6</v>
      </c>
      <c r="F18" s="2">
        <v>124.43</v>
      </c>
      <c r="G18" s="2">
        <v>112.6</v>
      </c>
      <c r="H18" s="2"/>
      <c r="I18" s="2"/>
      <c r="J18" s="2"/>
    </row>
    <row r="20" spans="1:10" s="47" customFormat="1" ht="27" customHeight="1" x14ac:dyDescent="0.25">
      <c r="D20" s="38" t="str">
        <f t="shared" ref="D20:F20" si="2">D4</f>
        <v>Пряжа 20текс</v>
      </c>
      <c r="E20" s="38" t="str">
        <f t="shared" si="2"/>
        <v>300dne Турция</v>
      </c>
      <c r="F20" s="38" t="str">
        <f t="shared" si="2"/>
        <v>Нить 118,8 В серый 255</v>
      </c>
      <c r="G20" s="38" t="str">
        <f>G4</f>
        <v>300dne</v>
      </c>
      <c r="H20" s="48">
        <f t="shared" ref="H20:J20" si="3">H4</f>
        <v>0</v>
      </c>
      <c r="I20" s="48">
        <f t="shared" si="3"/>
        <v>0</v>
      </c>
      <c r="J20" s="48">
        <f t="shared" si="3"/>
        <v>0</v>
      </c>
    </row>
    <row r="21" spans="1:10" x14ac:dyDescent="0.25">
      <c r="A21" s="141" t="str">
        <f>A5</f>
        <v xml:space="preserve">Производство 7 от 05.01.2026 </v>
      </c>
      <c r="B21" s="141"/>
      <c r="C21" s="22">
        <f>C5</f>
        <v>167.58</v>
      </c>
      <c r="D21">
        <f>ROUND(D5,3)</f>
        <v>32.774999999999999</v>
      </c>
      <c r="E21">
        <f t="shared" ref="E21:J33" si="4">ROUND(E5,3)</f>
        <v>24.405999999999999</v>
      </c>
      <c r="F21">
        <f t="shared" si="4"/>
        <v>18.45</v>
      </c>
      <c r="G21">
        <f t="shared" si="4"/>
        <v>16.696000000000002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ref="A22:A33" si="5">A6</f>
        <v xml:space="preserve">Производство 16 от 06.01.2026 </v>
      </c>
      <c r="B22" s="141"/>
      <c r="C22" s="22">
        <f t="shared" ref="C22:C33" si="6">C6</f>
        <v>171.8</v>
      </c>
      <c r="D22">
        <f t="shared" ref="D22:G33" si="7">ROUND(D6,3)</f>
        <v>33.600999999999999</v>
      </c>
      <c r="E22">
        <f t="shared" si="7"/>
        <v>25.021000000000001</v>
      </c>
      <c r="F22">
        <f t="shared" si="7"/>
        <v>18.914999999999999</v>
      </c>
      <c r="G22">
        <f t="shared" si="7"/>
        <v>17.116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x14ac:dyDescent="0.25">
      <c r="A23" s="141" t="str">
        <f t="shared" si="5"/>
        <v xml:space="preserve">Производство 19 от 07.01.2026 </v>
      </c>
      <c r="B23" s="141"/>
      <c r="C23" s="22">
        <f t="shared" si="6"/>
        <v>275.76</v>
      </c>
      <c r="D23">
        <f t="shared" si="7"/>
        <v>53.933</v>
      </c>
      <c r="E23">
        <f t="shared" si="7"/>
        <v>40.161999999999999</v>
      </c>
      <c r="F23">
        <f t="shared" si="7"/>
        <v>30.36</v>
      </c>
      <c r="G23">
        <f t="shared" si="7"/>
        <v>27.474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x14ac:dyDescent="0.25">
      <c r="A24" s="141" t="str">
        <f t="shared" si="5"/>
        <v xml:space="preserve">Производство 30 от 08.01.2026 </v>
      </c>
      <c r="B24" s="141"/>
      <c r="C24" s="22">
        <f t="shared" si="6"/>
        <v>273.08</v>
      </c>
      <c r="D24">
        <f t="shared" si="7"/>
        <v>53.408999999999999</v>
      </c>
      <c r="E24">
        <f t="shared" si="7"/>
        <v>39.771999999999998</v>
      </c>
      <c r="F24">
        <f t="shared" si="7"/>
        <v>30.065000000000001</v>
      </c>
      <c r="G24">
        <f t="shared" si="7"/>
        <v>27.207000000000001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x14ac:dyDescent="0.25">
      <c r="A25" s="141" t="str">
        <f t="shared" si="5"/>
        <v xml:space="preserve">Производство 35 от 09.01.2026 </v>
      </c>
      <c r="B25" s="141"/>
      <c r="C25" s="22">
        <f t="shared" si="6"/>
        <v>193.13</v>
      </c>
      <c r="D25">
        <f t="shared" si="7"/>
        <v>37.771999999999998</v>
      </c>
      <c r="E25">
        <f t="shared" si="7"/>
        <v>28.128</v>
      </c>
      <c r="F25">
        <f t="shared" si="7"/>
        <v>21.263000000000002</v>
      </c>
      <c r="G25">
        <f t="shared" si="7"/>
        <v>19.242000000000001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t="15.75" thickBot="1" x14ac:dyDescent="0.3">
      <c r="A26" s="141" t="str">
        <f t="shared" si="5"/>
        <v xml:space="preserve">Производство 37 от 12.01.2026 </v>
      </c>
      <c r="B26" s="141"/>
      <c r="C26" s="22">
        <f t="shared" si="6"/>
        <v>48.83</v>
      </c>
      <c r="D26">
        <f t="shared" si="7"/>
        <v>9.5500000000000007</v>
      </c>
      <c r="E26">
        <f t="shared" si="7"/>
        <v>7.1120000000000001</v>
      </c>
      <c r="F26">
        <f t="shared" si="7"/>
        <v>5.3760000000000003</v>
      </c>
      <c r="G26">
        <f t="shared" si="7"/>
        <v>4.8650000000000002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idden="1" x14ac:dyDescent="0.25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idden="1" x14ac:dyDescent="0.25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idden="1" x14ac:dyDescent="0.25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idden="1" x14ac:dyDescent="0.25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idden="1" x14ac:dyDescent="0.25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idden="1" x14ac:dyDescent="0.25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1130.1799999999998</v>
      </c>
      <c r="D34" s="2">
        <f>SUM(D21:D33)</f>
        <v>221.04</v>
      </c>
      <c r="E34" s="2">
        <f>SUM(E21:E33)</f>
        <v>164.60099999999997</v>
      </c>
      <c r="F34" s="2">
        <f t="shared" ref="F34:J34" si="8">SUM(F21:F33)</f>
        <v>124.429</v>
      </c>
      <c r="G34" s="2">
        <f t="shared" si="8"/>
        <v>112.6</v>
      </c>
      <c r="H34" s="2">
        <f t="shared" si="8"/>
        <v>0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>Пряжа 20текс</v>
      </c>
      <c r="D38" s="54">
        <f>D18/C18</f>
        <v>0.1955794652179299</v>
      </c>
      <c r="E38" s="54">
        <v>0.191</v>
      </c>
      <c r="F38" s="29">
        <f>D38/E38-1</f>
        <v>2.3976257685496938E-2</v>
      </c>
      <c r="G38" s="54"/>
      <c r="H38" s="54"/>
      <c r="I38" s="54"/>
      <c r="J38" s="54"/>
    </row>
    <row r="39" spans="1:10" x14ac:dyDescent="0.25">
      <c r="C39" t="str">
        <f>E4</f>
        <v>300dne Турция</v>
      </c>
      <c r="D39" s="54">
        <f>E18/C18</f>
        <v>0.14564051743969988</v>
      </c>
      <c r="E39" s="54">
        <v>0.105</v>
      </c>
      <c r="F39" s="29">
        <f t="shared" ref="F39:F41" si="9">D39/E39-1</f>
        <v>0.38705254704476078</v>
      </c>
    </row>
    <row r="40" spans="1:10" x14ac:dyDescent="0.25">
      <c r="C40" t="str">
        <f>F4</f>
        <v>Нить 118,8 В серый 255</v>
      </c>
      <c r="D40" s="54">
        <f>F18/C18</f>
        <v>0.11009750659187034</v>
      </c>
      <c r="E40" s="54">
        <v>0.105</v>
      </c>
      <c r="F40" s="29">
        <f t="shared" si="9"/>
        <v>4.8547681827336708E-2</v>
      </c>
      <c r="G40" s="54"/>
      <c r="H40" s="54"/>
      <c r="I40" s="54"/>
      <c r="J40" s="54"/>
    </row>
    <row r="41" spans="1:10" x14ac:dyDescent="0.25">
      <c r="C41" t="str">
        <f>G4</f>
        <v>300dne</v>
      </c>
      <c r="D41" s="54">
        <f>G18/C18</f>
        <v>9.9630147410147071E-2</v>
      </c>
      <c r="E41" s="54">
        <v>0.18</v>
      </c>
      <c r="F41" s="29">
        <f t="shared" si="9"/>
        <v>-0.44649918105473851</v>
      </c>
    </row>
    <row r="42" spans="1:10" x14ac:dyDescent="0.25">
      <c r="D42" s="54"/>
      <c r="E42" s="54"/>
      <c r="F42" s="50"/>
    </row>
    <row r="45" spans="1:10" x14ac:dyDescent="0.25">
      <c r="A45" s="138"/>
      <c r="B45" s="138"/>
      <c r="C45" s="138"/>
      <c r="D45" s="138"/>
      <c r="E45" s="138"/>
      <c r="F45" s="138"/>
      <c r="G45" s="138"/>
    </row>
  </sheetData>
  <mergeCells count="30">
    <mergeCell ref="A1:E1"/>
    <mergeCell ref="A5:B5"/>
    <mergeCell ref="A6:B6"/>
    <mergeCell ref="A7:B7"/>
    <mergeCell ref="A8:B8"/>
    <mergeCell ref="A33:B33"/>
    <mergeCell ref="A34:B34"/>
    <mergeCell ref="A45:G45"/>
    <mergeCell ref="A24:B24"/>
    <mergeCell ref="A25:B25"/>
    <mergeCell ref="A26:B26"/>
    <mergeCell ref="A27:B27"/>
    <mergeCell ref="A28:B28"/>
    <mergeCell ref="A29:B29"/>
    <mergeCell ref="A9:B9"/>
    <mergeCell ref="A10:B10"/>
    <mergeCell ref="A30:B30"/>
    <mergeCell ref="A31:B31"/>
    <mergeCell ref="A32:B32"/>
    <mergeCell ref="A16:B16"/>
    <mergeCell ref="A17:B17"/>
    <mergeCell ref="A18:B18"/>
    <mergeCell ref="A21:B21"/>
    <mergeCell ref="A22:B22"/>
    <mergeCell ref="A23:B23"/>
    <mergeCell ref="A11:B11"/>
    <mergeCell ref="A12:B12"/>
    <mergeCell ref="A13:B13"/>
    <mergeCell ref="A14:B14"/>
    <mergeCell ref="A15:B15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workbookViewId="0">
      <selection activeCell="T36" sqref="T36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17.5703125" customWidth="1"/>
    <col min="9" max="10" width="10.5703125" hidden="1" customWidth="1"/>
  </cols>
  <sheetData>
    <row r="1" spans="1:10" x14ac:dyDescent="0.25">
      <c r="A1" s="138" t="s">
        <v>354</v>
      </c>
      <c r="B1" s="138"/>
      <c r="C1" s="138"/>
      <c r="D1" s="138"/>
      <c r="E1" s="138"/>
      <c r="F1" s="86" t="s">
        <v>367</v>
      </c>
    </row>
    <row r="2" spans="1:10" x14ac:dyDescent="0.25">
      <c r="A2" s="37"/>
      <c r="B2" s="82"/>
      <c r="C2" s="82"/>
      <c r="D2" s="82"/>
      <c r="E2" s="66" t="s">
        <v>356</v>
      </c>
      <c r="F2" s="66" t="s">
        <v>357</v>
      </c>
    </row>
    <row r="3" spans="1:10" x14ac:dyDescent="0.25">
      <c r="A3" s="37" t="s">
        <v>355</v>
      </c>
      <c r="D3" t="s">
        <v>261</v>
      </c>
    </row>
    <row r="4" spans="1:10" ht="30" x14ac:dyDescent="0.25">
      <c r="D4" s="38" t="s">
        <v>345</v>
      </c>
      <c r="E4" s="38" t="s">
        <v>44</v>
      </c>
      <c r="F4" s="38" t="s">
        <v>119</v>
      </c>
      <c r="G4" s="38" t="s">
        <v>358</v>
      </c>
      <c r="H4" s="8" t="s">
        <v>359</v>
      </c>
      <c r="I4" s="4"/>
      <c r="J4" s="4"/>
    </row>
    <row r="5" spans="1:10" ht="15" customHeight="1" x14ac:dyDescent="0.25">
      <c r="A5" s="165" t="s">
        <v>360</v>
      </c>
      <c r="B5" s="165"/>
      <c r="C5" s="85">
        <v>30.16</v>
      </c>
      <c r="D5">
        <f t="shared" ref="D5:J17" si="0">$C5/$C$18*D$18</f>
        <v>2.89447619047619</v>
      </c>
      <c r="E5">
        <f t="shared" si="0"/>
        <v>3.543556302521008</v>
      </c>
      <c r="F5">
        <f t="shared" si="0"/>
        <v>3.1450621848739493</v>
      </c>
      <c r="G5">
        <f t="shared" si="0"/>
        <v>3.0647394957983192</v>
      </c>
      <c r="H5">
        <f t="shared" si="0"/>
        <v>3.2906308123249297</v>
      </c>
      <c r="I5">
        <f t="shared" si="0"/>
        <v>0</v>
      </c>
      <c r="J5">
        <f t="shared" si="0"/>
        <v>0</v>
      </c>
    </row>
    <row r="6" spans="1:10" ht="15" customHeight="1" x14ac:dyDescent="0.25">
      <c r="A6" s="165" t="s">
        <v>361</v>
      </c>
      <c r="B6" s="165"/>
      <c r="C6" s="85">
        <v>283.35000000000002</v>
      </c>
      <c r="D6">
        <f t="shared" si="0"/>
        <v>27.193296703296703</v>
      </c>
      <c r="E6">
        <f t="shared" si="0"/>
        <v>33.291335488041369</v>
      </c>
      <c r="F6">
        <f t="shared" si="0"/>
        <v>29.547525533290241</v>
      </c>
      <c r="G6">
        <f t="shared" si="0"/>
        <v>28.792902391725924</v>
      </c>
      <c r="H6">
        <f t="shared" si="0"/>
        <v>30.915127343244993</v>
      </c>
      <c r="I6">
        <f t="shared" si="0"/>
        <v>0</v>
      </c>
      <c r="J6">
        <f t="shared" si="0"/>
        <v>0</v>
      </c>
    </row>
    <row r="7" spans="1:10" ht="15" customHeight="1" x14ac:dyDescent="0.25">
      <c r="A7" s="165" t="s">
        <v>362</v>
      </c>
      <c r="B7" s="165"/>
      <c r="C7" s="85">
        <v>149.1</v>
      </c>
      <c r="D7">
        <f t="shared" si="0"/>
        <v>14.309230769230767</v>
      </c>
      <c r="E7">
        <f t="shared" si="0"/>
        <v>17.518045248868777</v>
      </c>
      <c r="F7">
        <f t="shared" si="0"/>
        <v>15.548036199095021</v>
      </c>
      <c r="G7">
        <f t="shared" si="0"/>
        <v>15.150950226244342</v>
      </c>
      <c r="H7">
        <f t="shared" si="0"/>
        <v>16.267674208144797</v>
      </c>
      <c r="I7">
        <f t="shared" si="0"/>
        <v>0</v>
      </c>
      <c r="J7">
        <f t="shared" si="0"/>
        <v>0</v>
      </c>
    </row>
    <row r="8" spans="1:10" ht="15" customHeight="1" x14ac:dyDescent="0.25">
      <c r="A8" s="165" t="s">
        <v>363</v>
      </c>
      <c r="B8" s="165"/>
      <c r="C8" s="85">
        <v>235.26</v>
      </c>
      <c r="D8">
        <f t="shared" si="0"/>
        <v>22.578065934065933</v>
      </c>
      <c r="E8">
        <f t="shared" si="0"/>
        <v>27.641149062701999</v>
      </c>
      <c r="F8">
        <f t="shared" si="0"/>
        <v>24.532736393018745</v>
      </c>
      <c r="G8">
        <f t="shared" si="0"/>
        <v>23.906187459599224</v>
      </c>
      <c r="H8">
        <f t="shared" si="0"/>
        <v>25.668229605688428</v>
      </c>
      <c r="I8">
        <f t="shared" si="0"/>
        <v>0</v>
      </c>
      <c r="J8">
        <f t="shared" si="0"/>
        <v>0</v>
      </c>
    </row>
    <row r="9" spans="1:10" x14ac:dyDescent="0.25">
      <c r="A9" s="165" t="s">
        <v>364</v>
      </c>
      <c r="B9" s="165"/>
      <c r="C9" s="85">
        <v>156.72</v>
      </c>
      <c r="D9">
        <f t="shared" si="0"/>
        <v>15.04052747252747</v>
      </c>
      <c r="E9">
        <f t="shared" si="0"/>
        <v>18.413333678086616</v>
      </c>
      <c r="F9">
        <f t="shared" si="0"/>
        <v>16.342644085326437</v>
      </c>
      <c r="G9">
        <f t="shared" si="0"/>
        <v>15.925264382676147</v>
      </c>
      <c r="H9">
        <f t="shared" si="0"/>
        <v>17.099060374919198</v>
      </c>
      <c r="I9">
        <f t="shared" si="0"/>
        <v>0</v>
      </c>
      <c r="J9">
        <f t="shared" si="0"/>
        <v>0</v>
      </c>
    </row>
    <row r="10" spans="1:10" x14ac:dyDescent="0.25">
      <c r="A10" s="165" t="s">
        <v>365</v>
      </c>
      <c r="B10" s="165"/>
      <c r="C10" s="85">
        <v>233.6</v>
      </c>
      <c r="D10">
        <f t="shared" si="0"/>
        <v>22.418754578754577</v>
      </c>
      <c r="E10">
        <f t="shared" si="0"/>
        <v>27.446112475759534</v>
      </c>
      <c r="F10">
        <f t="shared" si="0"/>
        <v>24.359632837750485</v>
      </c>
      <c r="G10">
        <f t="shared" si="0"/>
        <v>23.737504848093085</v>
      </c>
      <c r="H10">
        <f t="shared" si="0"/>
        <v>25.487113984055163</v>
      </c>
      <c r="I10">
        <f t="shared" si="0"/>
        <v>0</v>
      </c>
      <c r="J10">
        <f t="shared" si="0"/>
        <v>0</v>
      </c>
    </row>
    <row r="11" spans="1:10" ht="15.75" thickBot="1" x14ac:dyDescent="0.3">
      <c r="A11" s="165" t="s">
        <v>366</v>
      </c>
      <c r="B11" s="165"/>
      <c r="C11" s="85">
        <v>72.06</v>
      </c>
      <c r="D11">
        <f t="shared" si="0"/>
        <v>6.9156483516483513</v>
      </c>
      <c r="E11">
        <f t="shared" si="0"/>
        <v>8.4664677440206848</v>
      </c>
      <c r="F11">
        <f t="shared" si="0"/>
        <v>7.5143627666451192</v>
      </c>
      <c r="G11">
        <f t="shared" si="0"/>
        <v>7.3224511958629606</v>
      </c>
      <c r="H11">
        <f t="shared" si="0"/>
        <v>7.8621636716224952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1160.25</v>
      </c>
      <c r="D18" s="2">
        <v>111.35</v>
      </c>
      <c r="E18" s="2">
        <v>136.32</v>
      </c>
      <c r="F18" s="80">
        <v>120.99</v>
      </c>
      <c r="G18" s="2">
        <v>117.9</v>
      </c>
      <c r="H18" s="2">
        <v>126.59</v>
      </c>
      <c r="I18" s="2"/>
      <c r="J18" s="2"/>
    </row>
    <row r="20" spans="1:10" s="47" customFormat="1" ht="27" customHeight="1" x14ac:dyDescent="0.25">
      <c r="D20" s="38" t="str">
        <f t="shared" ref="D20:F20" si="2">D4</f>
        <v>150 суровая</v>
      </c>
      <c r="E20" s="38" t="str">
        <f t="shared" si="2"/>
        <v>300dne</v>
      </c>
      <c r="F20" s="38" t="str">
        <f t="shared" si="2"/>
        <v>пряжа 20текс</v>
      </c>
      <c r="G20" s="38" t="str">
        <f>G4</f>
        <v>150D/48 №295</v>
      </c>
      <c r="H20" s="48" t="str">
        <f t="shared" ref="H20:J20" si="3">H4</f>
        <v>Пряжа хб 30/1 №1001</v>
      </c>
      <c r="I20" s="48">
        <f t="shared" si="3"/>
        <v>0</v>
      </c>
      <c r="J20" s="48">
        <f t="shared" si="3"/>
        <v>0</v>
      </c>
    </row>
    <row r="21" spans="1:10" x14ac:dyDescent="0.25">
      <c r="A21" s="141" t="str">
        <f>A5</f>
        <v xml:space="preserve">Производство 279 от 19.01.2026 </v>
      </c>
      <c r="B21" s="141"/>
      <c r="C21" s="22">
        <f>C5</f>
        <v>30.16</v>
      </c>
      <c r="D21">
        <f>ROUND(D5,3)</f>
        <v>2.8940000000000001</v>
      </c>
      <c r="E21">
        <f t="shared" ref="E21:J33" si="4">ROUND(E5,3)</f>
        <v>3.544</v>
      </c>
      <c r="F21">
        <f t="shared" si="4"/>
        <v>3.145</v>
      </c>
      <c r="G21">
        <f t="shared" si="4"/>
        <v>3.0649999999999999</v>
      </c>
      <c r="H21">
        <f t="shared" si="4"/>
        <v>3.2909999999999999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ref="A22:A33" si="5">A6</f>
        <v xml:space="preserve">Производство 284 от 20.01.2026 </v>
      </c>
      <c r="B22" s="141"/>
      <c r="C22" s="22">
        <f t="shared" ref="C22:C33" si="6">C6</f>
        <v>283.35000000000002</v>
      </c>
      <c r="D22">
        <f t="shared" ref="D22:G33" si="7">ROUND(D6,3)</f>
        <v>27.193000000000001</v>
      </c>
      <c r="E22">
        <f t="shared" si="7"/>
        <v>33.290999999999997</v>
      </c>
      <c r="F22">
        <f t="shared" si="7"/>
        <v>29.547999999999998</v>
      </c>
      <c r="G22">
        <f t="shared" si="7"/>
        <v>28.792999999999999</v>
      </c>
      <c r="H22">
        <f t="shared" si="4"/>
        <v>30.914999999999999</v>
      </c>
      <c r="I22">
        <f t="shared" si="4"/>
        <v>0</v>
      </c>
      <c r="J22">
        <f t="shared" si="4"/>
        <v>0</v>
      </c>
    </row>
    <row r="23" spans="1:10" x14ac:dyDescent="0.25">
      <c r="A23" s="141" t="str">
        <f t="shared" si="5"/>
        <v xml:space="preserve">Производство 336 от 21.01.2026 </v>
      </c>
      <c r="B23" s="141"/>
      <c r="C23" s="22">
        <f t="shared" si="6"/>
        <v>149.1</v>
      </c>
      <c r="D23">
        <f t="shared" si="7"/>
        <v>14.308999999999999</v>
      </c>
      <c r="E23">
        <f t="shared" si="7"/>
        <v>17.518000000000001</v>
      </c>
      <c r="F23">
        <f t="shared" si="7"/>
        <v>15.548</v>
      </c>
      <c r="G23">
        <f t="shared" si="7"/>
        <v>15.151</v>
      </c>
      <c r="H23">
        <f t="shared" si="4"/>
        <v>16.268000000000001</v>
      </c>
      <c r="I23">
        <f t="shared" si="4"/>
        <v>0</v>
      </c>
      <c r="J23">
        <f t="shared" si="4"/>
        <v>0</v>
      </c>
    </row>
    <row r="24" spans="1:10" x14ac:dyDescent="0.25">
      <c r="A24" s="141" t="str">
        <f t="shared" si="5"/>
        <v xml:space="preserve">Производство 429 от 22.01.2026 </v>
      </c>
      <c r="B24" s="141"/>
      <c r="C24" s="22">
        <f t="shared" si="6"/>
        <v>235.26</v>
      </c>
      <c r="D24">
        <f t="shared" si="7"/>
        <v>22.577999999999999</v>
      </c>
      <c r="E24">
        <f t="shared" si="7"/>
        <v>27.640999999999998</v>
      </c>
      <c r="F24">
        <f t="shared" si="7"/>
        <v>24.533000000000001</v>
      </c>
      <c r="G24">
        <f t="shared" si="7"/>
        <v>23.905999999999999</v>
      </c>
      <c r="H24">
        <f t="shared" si="4"/>
        <v>25.667999999999999</v>
      </c>
      <c r="I24">
        <f t="shared" si="4"/>
        <v>0</v>
      </c>
      <c r="J24">
        <f t="shared" si="4"/>
        <v>0</v>
      </c>
    </row>
    <row r="25" spans="1:10" x14ac:dyDescent="0.25">
      <c r="A25" s="141" t="str">
        <f t="shared" si="5"/>
        <v xml:space="preserve">Производство 479 от 23.01.2026 </v>
      </c>
      <c r="B25" s="141"/>
      <c r="C25" s="22">
        <f t="shared" si="6"/>
        <v>156.72</v>
      </c>
      <c r="D25">
        <f t="shared" si="7"/>
        <v>15.041</v>
      </c>
      <c r="E25">
        <f t="shared" si="7"/>
        <v>18.413</v>
      </c>
      <c r="F25">
        <f t="shared" si="7"/>
        <v>16.343</v>
      </c>
      <c r="G25">
        <f t="shared" si="7"/>
        <v>15.925000000000001</v>
      </c>
      <c r="H25">
        <f t="shared" si="4"/>
        <v>17.099</v>
      </c>
      <c r="I25">
        <f t="shared" si="4"/>
        <v>0</v>
      </c>
      <c r="J25">
        <f t="shared" si="4"/>
        <v>0</v>
      </c>
    </row>
    <row r="26" spans="1:10" x14ac:dyDescent="0.25">
      <c r="A26" s="141" t="str">
        <f t="shared" si="5"/>
        <v xml:space="preserve">Производство 499 от 26.01.2026 </v>
      </c>
      <c r="B26" s="141"/>
      <c r="C26" s="22">
        <f t="shared" si="6"/>
        <v>233.6</v>
      </c>
      <c r="D26">
        <f t="shared" si="7"/>
        <v>22.419</v>
      </c>
      <c r="E26">
        <f t="shared" si="7"/>
        <v>27.446000000000002</v>
      </c>
      <c r="F26">
        <f t="shared" si="7"/>
        <v>24.36</v>
      </c>
      <c r="G26">
        <f t="shared" si="7"/>
        <v>23.738</v>
      </c>
      <c r="H26">
        <f t="shared" si="4"/>
        <v>25.486999999999998</v>
      </c>
      <c r="I26">
        <f t="shared" si="4"/>
        <v>0</v>
      </c>
      <c r="J26">
        <f t="shared" si="4"/>
        <v>0</v>
      </c>
    </row>
    <row r="27" spans="1:10" ht="15.75" thickBot="1" x14ac:dyDescent="0.3">
      <c r="A27" s="141" t="str">
        <f t="shared" si="5"/>
        <v xml:space="preserve">Производство 508 от 27.01.2026 </v>
      </c>
      <c r="B27" s="141"/>
      <c r="C27" s="22">
        <f t="shared" si="6"/>
        <v>72.06</v>
      </c>
      <c r="D27">
        <f t="shared" si="7"/>
        <v>6.9160000000000004</v>
      </c>
      <c r="E27">
        <f t="shared" si="7"/>
        <v>8.4659999999999993</v>
      </c>
      <c r="F27">
        <f t="shared" si="7"/>
        <v>7.5140000000000002</v>
      </c>
      <c r="G27">
        <f t="shared" si="7"/>
        <v>7.3220000000000001</v>
      </c>
      <c r="H27">
        <f t="shared" si="4"/>
        <v>7.8620000000000001</v>
      </c>
      <c r="I27">
        <f t="shared" si="4"/>
        <v>0</v>
      </c>
      <c r="J27">
        <f t="shared" si="4"/>
        <v>0</v>
      </c>
    </row>
    <row r="28" spans="1:10" hidden="1" x14ac:dyDescent="0.25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idden="1" x14ac:dyDescent="0.25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idden="1" x14ac:dyDescent="0.25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idden="1" x14ac:dyDescent="0.25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idden="1" x14ac:dyDescent="0.25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1160.25</v>
      </c>
      <c r="D34" s="2">
        <f>SUM(D21:D33)</f>
        <v>111.35</v>
      </c>
      <c r="E34" s="2">
        <f>SUM(E21:E33)</f>
        <v>136.31899999999999</v>
      </c>
      <c r="F34" s="80">
        <f t="shared" ref="F34:J34" si="8">SUM(F21:F33)</f>
        <v>120.991</v>
      </c>
      <c r="G34" s="2">
        <f t="shared" si="8"/>
        <v>117.89999999999999</v>
      </c>
      <c r="H34" s="2">
        <f t="shared" si="8"/>
        <v>126.58999999999999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>150 суровая</v>
      </c>
      <c r="D38" s="82">
        <f>D18/C18</f>
        <v>9.5970695970695963E-2</v>
      </c>
      <c r="E38" s="82">
        <v>8.5999999999999993E-2</v>
      </c>
      <c r="F38" s="29">
        <f>D38/E38-1</f>
        <v>0.11593832524065073</v>
      </c>
      <c r="G38" s="82"/>
      <c r="H38" s="82"/>
      <c r="I38" s="82"/>
      <c r="J38" s="82"/>
    </row>
    <row r="39" spans="1:10" x14ac:dyDescent="0.25">
      <c r="C39" t="str">
        <f>E4</f>
        <v>300dne</v>
      </c>
      <c r="D39" s="82">
        <f>E18/C18</f>
        <v>0.11749191984486101</v>
      </c>
      <c r="E39" s="82">
        <v>9.0999999999999998E-2</v>
      </c>
      <c r="F39" s="29">
        <f t="shared" ref="F39:F40" si="9">D39/E39-1</f>
        <v>0.29111999829517599</v>
      </c>
    </row>
    <row r="40" spans="1:10" x14ac:dyDescent="0.25">
      <c r="C40" t="str">
        <f>F4</f>
        <v>пряжа 20текс</v>
      </c>
      <c r="D40" s="82">
        <f>F18/C18</f>
        <v>0.1042792501616031</v>
      </c>
      <c r="E40" s="82">
        <v>8.6999999999999994E-2</v>
      </c>
      <c r="F40" s="29">
        <f t="shared" si="9"/>
        <v>0.19861207082302412</v>
      </c>
      <c r="G40" s="82"/>
      <c r="H40" s="82"/>
      <c r="I40" s="82"/>
      <c r="J40" s="82"/>
    </row>
    <row r="41" spans="1:10" x14ac:dyDescent="0.25">
      <c r="C41" t="str">
        <f>G4</f>
        <v>150D/48 №295</v>
      </c>
      <c r="D41" s="82">
        <f>G18/C18</f>
        <v>0.10161603102779573</v>
      </c>
      <c r="E41" s="82">
        <v>9.1999999999999998E-2</v>
      </c>
      <c r="F41" s="29">
        <f>D41/E41-1</f>
        <v>0.10452207638908417</v>
      </c>
    </row>
    <row r="42" spans="1:10" x14ac:dyDescent="0.25">
      <c r="C42" t="str">
        <f>H4</f>
        <v>Пряжа хб 30/1 №1001</v>
      </c>
      <c r="D42" s="82">
        <f>H18/C18</f>
        <v>0.1091057961646197</v>
      </c>
      <c r="E42" s="82">
        <v>8.7999999999999995E-2</v>
      </c>
      <c r="F42" s="29">
        <f>D42/E42-1</f>
        <v>0.23983859277976927</v>
      </c>
    </row>
    <row r="45" spans="1:10" x14ac:dyDescent="0.25">
      <c r="A45" s="138"/>
      <c r="B45" s="138"/>
      <c r="C45" s="138"/>
      <c r="D45" s="138"/>
      <c r="E45" s="138"/>
      <c r="F45" s="138"/>
      <c r="G45" s="138"/>
    </row>
  </sheetData>
  <mergeCells count="30">
    <mergeCell ref="A1:E1"/>
    <mergeCell ref="A5:B5"/>
    <mergeCell ref="A6:B6"/>
    <mergeCell ref="A7:B7"/>
    <mergeCell ref="A8:B8"/>
    <mergeCell ref="A32:B32"/>
    <mergeCell ref="A33:B33"/>
    <mergeCell ref="A34:B34"/>
    <mergeCell ref="A45:G45"/>
    <mergeCell ref="A24:B24"/>
    <mergeCell ref="A25:B25"/>
    <mergeCell ref="A26:B26"/>
    <mergeCell ref="A27:B27"/>
    <mergeCell ref="A28:B28"/>
    <mergeCell ref="A29:B29"/>
    <mergeCell ref="A9:B9"/>
    <mergeCell ref="A10:B10"/>
    <mergeCell ref="A11:B11"/>
    <mergeCell ref="A30:B30"/>
    <mergeCell ref="A31:B31"/>
    <mergeCell ref="A16:B16"/>
    <mergeCell ref="A17:B17"/>
    <mergeCell ref="A18:B18"/>
    <mergeCell ref="A21:B21"/>
    <mergeCell ref="A22:B22"/>
    <mergeCell ref="A23:B23"/>
    <mergeCell ref="A12:B12"/>
    <mergeCell ref="A13:B13"/>
    <mergeCell ref="A14:B14"/>
    <mergeCell ref="A15:B15"/>
  </mergeCells>
  <pageMargins left="0.70866141732283472" right="0.70866141732283472" top="0.74803149606299213" bottom="0.74803149606299213" header="0.31496062992125984" footer="0.31496062992125984"/>
  <pageSetup paperSize="9" scale="61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workbookViewId="0">
      <selection activeCell="A28" sqref="A28:XFD33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259</v>
      </c>
      <c r="B1" s="138"/>
      <c r="C1" s="138"/>
      <c r="D1" s="138"/>
      <c r="E1" s="138"/>
    </row>
    <row r="2" spans="1:10" x14ac:dyDescent="0.25">
      <c r="A2" s="37"/>
      <c r="B2" s="64"/>
      <c r="C2" s="64"/>
      <c r="D2" s="64"/>
      <c r="E2" s="64"/>
    </row>
    <row r="3" spans="1:10" x14ac:dyDescent="0.25">
      <c r="A3" s="37" t="s">
        <v>260</v>
      </c>
      <c r="D3" t="s">
        <v>261</v>
      </c>
    </row>
    <row r="4" spans="1:10" x14ac:dyDescent="0.25">
      <c r="D4" s="38" t="s">
        <v>263</v>
      </c>
      <c r="E4" s="38" t="s">
        <v>193</v>
      </c>
      <c r="F4" s="38" t="s">
        <v>262</v>
      </c>
      <c r="G4" s="38" t="s">
        <v>7</v>
      </c>
      <c r="H4" s="4"/>
      <c r="I4" s="4"/>
      <c r="J4" s="4"/>
    </row>
    <row r="5" spans="1:10" ht="15" customHeight="1" x14ac:dyDescent="0.25">
      <c r="A5" s="166" t="s">
        <v>264</v>
      </c>
      <c r="B5" s="166"/>
      <c r="C5" s="70">
        <v>155.41</v>
      </c>
      <c r="D5">
        <f t="shared" ref="D5:J17" si="0">$C5/$C$18*D$18</f>
        <v>13.871469556901499</v>
      </c>
      <c r="E5">
        <f t="shared" si="0"/>
        <v>13.748084517716123</v>
      </c>
      <c r="F5">
        <f t="shared" si="0"/>
        <v>42.397716722502572</v>
      </c>
      <c r="G5">
        <f t="shared" si="0"/>
        <v>36.699571276486971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66" t="s">
        <v>265</v>
      </c>
      <c r="B6" s="166"/>
      <c r="C6" s="70">
        <v>280.14</v>
      </c>
      <c r="D6">
        <f t="shared" si="0"/>
        <v>25.004526617787697</v>
      </c>
      <c r="E6">
        <f t="shared" si="0"/>
        <v>24.782114386416541</v>
      </c>
      <c r="F6">
        <f t="shared" si="0"/>
        <v>76.425560534340576</v>
      </c>
      <c r="G6">
        <f t="shared" si="0"/>
        <v>66.154159303745317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66" t="s">
        <v>266</v>
      </c>
      <c r="B7" s="166"/>
      <c r="C7" s="70">
        <v>280.45</v>
      </c>
      <c r="D7">
        <f t="shared" si="0"/>
        <v>25.032196365954736</v>
      </c>
      <c r="E7">
        <f t="shared" si="0"/>
        <v>24.809538015529803</v>
      </c>
      <c r="F7">
        <f t="shared" si="0"/>
        <v>76.510132261925534</v>
      </c>
      <c r="G7">
        <f t="shared" si="0"/>
        <v>66.227364805937654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x14ac:dyDescent="0.25">
      <c r="A8" s="166" t="s">
        <v>267</v>
      </c>
      <c r="B8" s="166"/>
      <c r="C8" s="70">
        <v>336.47</v>
      </c>
      <c r="D8">
        <f t="shared" si="0"/>
        <v>30.032387631495066</v>
      </c>
      <c r="E8">
        <f t="shared" si="0"/>
        <v>29.765253186255354</v>
      </c>
      <c r="F8">
        <f t="shared" si="0"/>
        <v>91.793061872597917</v>
      </c>
      <c r="G8">
        <f t="shared" si="0"/>
        <v>79.456307492436608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x14ac:dyDescent="0.25">
      <c r="A9" s="166" t="s">
        <v>268</v>
      </c>
      <c r="B9" s="166"/>
      <c r="C9" s="70">
        <v>223.85</v>
      </c>
      <c r="D9">
        <f t="shared" si="0"/>
        <v>19.980235894166405</v>
      </c>
      <c r="E9">
        <f t="shared" si="0"/>
        <v>19.802514119366542</v>
      </c>
      <c r="F9">
        <f t="shared" si="0"/>
        <v>61.068971677061974</v>
      </c>
      <c r="G9">
        <f t="shared" si="0"/>
        <v>52.861456986304674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x14ac:dyDescent="0.25">
      <c r="A10" s="166" t="s">
        <v>269</v>
      </c>
      <c r="B10" s="166"/>
      <c r="C10" s="70">
        <v>335.01</v>
      </c>
      <c r="D10">
        <f t="shared" si="0"/>
        <v>29.902072043353524</v>
      </c>
      <c r="E10">
        <f t="shared" si="0"/>
        <v>29.636096739463859</v>
      </c>
      <c r="F10">
        <f t="shared" si="0"/>
        <v>91.394756316875274</v>
      </c>
      <c r="G10">
        <f t="shared" si="0"/>
        <v>79.111533191788823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thickBot="1" x14ac:dyDescent="0.3">
      <c r="A11" s="166" t="s">
        <v>270</v>
      </c>
      <c r="B11" s="166"/>
      <c r="C11" s="70">
        <v>51.28</v>
      </c>
      <c r="D11">
        <f t="shared" si="0"/>
        <v>4.577111890341091</v>
      </c>
      <c r="E11">
        <f t="shared" si="0"/>
        <v>4.5363990352518035</v>
      </c>
      <c r="F11">
        <f t="shared" si="0"/>
        <v>13.98980061469617</v>
      </c>
      <c r="G11">
        <f t="shared" si="0"/>
        <v>12.109606943299992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3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1662.61</v>
      </c>
      <c r="D18" s="2">
        <v>148.4</v>
      </c>
      <c r="E18" s="2">
        <v>147.08000000000001</v>
      </c>
      <c r="F18" s="2">
        <v>453.58</v>
      </c>
      <c r="G18" s="2">
        <v>392.62</v>
      </c>
      <c r="H18" s="2"/>
      <c r="I18" s="2"/>
      <c r="J18" s="2"/>
    </row>
    <row r="20" spans="1:10" s="47" customFormat="1" ht="27" customHeight="1" x14ac:dyDescent="0.25">
      <c r="D20" s="38" t="str">
        <f t="shared" ref="D20:F20" si="2">D4</f>
        <v>нить 3603 черн</v>
      </c>
      <c r="E20" s="38" t="str">
        <f t="shared" si="2"/>
        <v>трилобал 167</v>
      </c>
      <c r="F20" s="38" t="str">
        <f t="shared" si="2"/>
        <v>25 текс</v>
      </c>
      <c r="G20" s="38" t="str">
        <f>G4</f>
        <v>600dne</v>
      </c>
      <c r="H20" s="48">
        <f t="shared" ref="H20:J20" si="3">H4</f>
        <v>0</v>
      </c>
      <c r="I20" s="48">
        <f t="shared" si="3"/>
        <v>0</v>
      </c>
      <c r="J20" s="48">
        <f t="shared" si="3"/>
        <v>0</v>
      </c>
    </row>
    <row r="21" spans="1:10" x14ac:dyDescent="0.25">
      <c r="A21" s="141" t="str">
        <f>A5</f>
        <v xml:space="preserve">Производство 52 от 12.01.2026 </v>
      </c>
      <c r="B21" s="141"/>
      <c r="C21" s="22">
        <f>C5</f>
        <v>155.41</v>
      </c>
      <c r="D21">
        <f>ROUND(D5,3)</f>
        <v>13.871</v>
      </c>
      <c r="E21">
        <f t="shared" ref="E21:J33" si="4">ROUND(E5,3)</f>
        <v>13.747999999999999</v>
      </c>
      <c r="F21">
        <f t="shared" si="4"/>
        <v>42.398000000000003</v>
      </c>
      <c r="G21">
        <f t="shared" si="4"/>
        <v>36.700000000000003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ref="A22:A33" si="5">A6</f>
        <v xml:space="preserve">Производство 80 от 13.01.2026 </v>
      </c>
      <c r="B22" s="141"/>
      <c r="C22" s="22">
        <f t="shared" ref="C22:C33" si="6">C6</f>
        <v>280.14</v>
      </c>
      <c r="D22">
        <f t="shared" ref="D22:G33" si="7">ROUND(D6,3)</f>
        <v>25.004999999999999</v>
      </c>
      <c r="E22">
        <f t="shared" si="7"/>
        <v>24.782</v>
      </c>
      <c r="F22">
        <f t="shared" si="7"/>
        <v>76.426000000000002</v>
      </c>
      <c r="G22">
        <f t="shared" si="7"/>
        <v>66.153999999999996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x14ac:dyDescent="0.25">
      <c r="A23" s="141" t="str">
        <f t="shared" si="5"/>
        <v xml:space="preserve">Производство 108 от 14.01.2026 </v>
      </c>
      <c r="B23" s="141"/>
      <c r="C23" s="22">
        <f t="shared" si="6"/>
        <v>280.45</v>
      </c>
      <c r="D23">
        <f t="shared" si="7"/>
        <v>25.032</v>
      </c>
      <c r="E23">
        <f t="shared" si="7"/>
        <v>24.81</v>
      </c>
      <c r="F23">
        <f t="shared" si="7"/>
        <v>76.510000000000005</v>
      </c>
      <c r="G23">
        <f t="shared" si="7"/>
        <v>66.227000000000004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x14ac:dyDescent="0.25">
      <c r="A24" s="141" t="str">
        <f t="shared" si="5"/>
        <v xml:space="preserve">Производство 194 от 15.01.2026 </v>
      </c>
      <c r="B24" s="141"/>
      <c r="C24" s="22">
        <f t="shared" si="6"/>
        <v>336.47</v>
      </c>
      <c r="D24">
        <f t="shared" si="7"/>
        <v>30.032</v>
      </c>
      <c r="E24">
        <f t="shared" si="7"/>
        <v>29.765000000000001</v>
      </c>
      <c r="F24">
        <f t="shared" si="7"/>
        <v>91.793000000000006</v>
      </c>
      <c r="G24">
        <f t="shared" si="7"/>
        <v>79.456000000000003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x14ac:dyDescent="0.25">
      <c r="A25" s="141" t="str">
        <f t="shared" si="5"/>
        <v xml:space="preserve">Производство 237 от 16.01.2026 </v>
      </c>
      <c r="B25" s="141"/>
      <c r="C25" s="22">
        <f t="shared" si="6"/>
        <v>223.85</v>
      </c>
      <c r="D25">
        <f t="shared" si="7"/>
        <v>19.98</v>
      </c>
      <c r="E25">
        <f t="shared" si="7"/>
        <v>19.803000000000001</v>
      </c>
      <c r="F25">
        <f t="shared" si="7"/>
        <v>61.069000000000003</v>
      </c>
      <c r="G25">
        <f t="shared" si="7"/>
        <v>52.860999999999997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x14ac:dyDescent="0.25">
      <c r="A26" s="141" t="str">
        <f t="shared" si="5"/>
        <v xml:space="preserve">Производство 273 от 19.01.2026 </v>
      </c>
      <c r="B26" s="141"/>
      <c r="C26" s="22">
        <f t="shared" si="6"/>
        <v>335.01</v>
      </c>
      <c r="D26">
        <f t="shared" si="7"/>
        <v>29.902000000000001</v>
      </c>
      <c r="E26">
        <f t="shared" si="7"/>
        <v>29.635999999999999</v>
      </c>
      <c r="F26">
        <f t="shared" si="7"/>
        <v>91.394999999999996</v>
      </c>
      <c r="G26">
        <f t="shared" si="7"/>
        <v>79.111999999999995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t="15.75" thickBot="1" x14ac:dyDescent="0.3">
      <c r="A27" s="141" t="str">
        <f t="shared" si="5"/>
        <v xml:space="preserve">Производство 286 от 20.01.2026 </v>
      </c>
      <c r="B27" s="141"/>
      <c r="C27" s="22">
        <f t="shared" si="6"/>
        <v>51.28</v>
      </c>
      <c r="D27">
        <f t="shared" si="7"/>
        <v>4.577</v>
      </c>
      <c r="E27">
        <f t="shared" si="7"/>
        <v>4.5359999999999996</v>
      </c>
      <c r="F27">
        <f t="shared" si="7"/>
        <v>13.99</v>
      </c>
      <c r="G27">
        <f t="shared" si="7"/>
        <v>12.11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idden="1" x14ac:dyDescent="0.25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idden="1" x14ac:dyDescent="0.25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idden="1" x14ac:dyDescent="0.25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idden="1" x14ac:dyDescent="0.25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idden="1" x14ac:dyDescent="0.25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1662.61</v>
      </c>
      <c r="D34" s="2">
        <f>SUM(D21:D33)</f>
        <v>148.399</v>
      </c>
      <c r="E34" s="2">
        <f>SUM(E21:E33)</f>
        <v>147.08000000000001</v>
      </c>
      <c r="F34" s="2">
        <f t="shared" ref="F34:J34" si="8">SUM(F21:F33)</f>
        <v>453.58100000000002</v>
      </c>
      <c r="G34" s="2">
        <f t="shared" si="8"/>
        <v>392.62</v>
      </c>
      <c r="H34" s="2">
        <f t="shared" si="8"/>
        <v>0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>нить 3603 черн</v>
      </c>
      <c r="D38" s="64">
        <f>D18/C18</f>
        <v>8.925725215173734E-2</v>
      </c>
      <c r="E38" s="64">
        <v>7.3999999999999996E-2</v>
      </c>
      <c r="F38" s="29">
        <f>D38/E38-1</f>
        <v>0.20617908313158573</v>
      </c>
      <c r="G38" s="64"/>
      <c r="H38" s="64"/>
      <c r="I38" s="64"/>
      <c r="J38" s="64"/>
    </row>
    <row r="39" spans="1:10" x14ac:dyDescent="0.25">
      <c r="C39" t="str">
        <f>E4</f>
        <v>трилобал 167</v>
      </c>
      <c r="D39" s="64">
        <f>E18/C18</f>
        <v>8.8463319720198982E-2</v>
      </c>
      <c r="E39" s="64">
        <v>5.2999999999999999E-2</v>
      </c>
      <c r="F39" s="29">
        <f t="shared" ref="F39:F41" si="9">D39/E39-1</f>
        <v>0.66911924000375445</v>
      </c>
    </row>
    <row r="40" spans="1:10" x14ac:dyDescent="0.25">
      <c r="C40" t="str">
        <f>F4</f>
        <v>25 текс</v>
      </c>
      <c r="D40" s="64">
        <f>F18/C18</f>
        <v>0.27281202446755404</v>
      </c>
      <c r="E40" s="64">
        <v>0.21</v>
      </c>
      <c r="F40" s="29">
        <f t="shared" si="9"/>
        <v>0.29910487841692412</v>
      </c>
      <c r="G40" s="64"/>
      <c r="H40" s="64"/>
      <c r="I40" s="64"/>
      <c r="J40" s="64"/>
    </row>
    <row r="41" spans="1:10" x14ac:dyDescent="0.25">
      <c r="C41" t="str">
        <f>G4</f>
        <v>600dne</v>
      </c>
      <c r="D41" s="64">
        <f>G18/C18</f>
        <v>0.23614678126560049</v>
      </c>
      <c r="E41" s="64">
        <v>0.183</v>
      </c>
      <c r="F41" s="29">
        <f t="shared" si="9"/>
        <v>0.2904195697573797</v>
      </c>
    </row>
    <row r="42" spans="1:10" x14ac:dyDescent="0.25">
      <c r="D42" s="64"/>
      <c r="E42" s="64"/>
      <c r="F42" s="50"/>
    </row>
    <row r="45" spans="1:10" x14ac:dyDescent="0.25">
      <c r="A45" s="138"/>
      <c r="B45" s="138"/>
      <c r="C45" s="138"/>
      <c r="D45" s="138"/>
      <c r="E45" s="138"/>
      <c r="F45" s="138"/>
      <c r="G45" s="138"/>
    </row>
  </sheetData>
  <mergeCells count="30">
    <mergeCell ref="A9:B9"/>
    <mergeCell ref="A10:B10"/>
    <mergeCell ref="A11:B11"/>
    <mergeCell ref="A30:B30"/>
    <mergeCell ref="A31:B31"/>
    <mergeCell ref="A16:B16"/>
    <mergeCell ref="A17:B17"/>
    <mergeCell ref="A18:B18"/>
    <mergeCell ref="A21:B21"/>
    <mergeCell ref="A22:B22"/>
    <mergeCell ref="A23:B23"/>
    <mergeCell ref="A12:B12"/>
    <mergeCell ref="A13:B13"/>
    <mergeCell ref="A14:B14"/>
    <mergeCell ref="A15:B15"/>
    <mergeCell ref="A32:B32"/>
    <mergeCell ref="A33:B33"/>
    <mergeCell ref="A34:B34"/>
    <mergeCell ref="A45:G45"/>
    <mergeCell ref="A24:B24"/>
    <mergeCell ref="A25:B25"/>
    <mergeCell ref="A26:B26"/>
    <mergeCell ref="A27:B27"/>
    <mergeCell ref="A28:B28"/>
    <mergeCell ref="A29:B29"/>
    <mergeCell ref="A1:E1"/>
    <mergeCell ref="A5:B5"/>
    <mergeCell ref="A6:B6"/>
    <mergeCell ref="A7:B7"/>
    <mergeCell ref="A8:B8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workbookViewId="0">
      <selection activeCell="A45" sqref="A45:G45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12.42578125" customWidth="1"/>
    <col min="9" max="9" width="10.5703125" customWidth="1"/>
    <col min="10" max="10" width="10.5703125" hidden="1" customWidth="1"/>
  </cols>
  <sheetData>
    <row r="1" spans="1:10" x14ac:dyDescent="0.25">
      <c r="A1" s="138" t="s">
        <v>245</v>
      </c>
      <c r="B1" s="138"/>
      <c r="C1" s="138"/>
      <c r="D1" s="138"/>
      <c r="E1" s="138"/>
    </row>
    <row r="2" spans="1:10" x14ac:dyDescent="0.25">
      <c r="A2" s="37"/>
      <c r="B2" s="63"/>
      <c r="C2" s="63"/>
      <c r="D2" s="63"/>
      <c r="E2" s="63"/>
    </row>
    <row r="3" spans="1:10" x14ac:dyDescent="0.25">
      <c r="A3" s="37" t="s">
        <v>246</v>
      </c>
      <c r="C3" t="s">
        <v>199</v>
      </c>
    </row>
    <row r="4" spans="1:10" ht="45" x14ac:dyDescent="0.25">
      <c r="D4" s="38" t="s">
        <v>247</v>
      </c>
      <c r="E4" s="38" t="s">
        <v>149</v>
      </c>
      <c r="F4" s="38" t="s">
        <v>248</v>
      </c>
      <c r="G4" s="38" t="s">
        <v>249</v>
      </c>
      <c r="H4" s="38" t="s">
        <v>250</v>
      </c>
      <c r="I4" s="38" t="s">
        <v>215</v>
      </c>
      <c r="J4" s="4"/>
    </row>
    <row r="5" spans="1:10" ht="15" customHeight="1" x14ac:dyDescent="0.25">
      <c r="A5" s="167" t="s">
        <v>251</v>
      </c>
      <c r="B5" s="167"/>
      <c r="C5" s="67">
        <v>74.239999999999995</v>
      </c>
      <c r="D5">
        <f t="shared" ref="D5:J17" si="0">$C5/$C$18*D$18</f>
        <v>18.662477694895419</v>
      </c>
      <c r="E5">
        <f t="shared" si="0"/>
        <v>3.1496621325142597</v>
      </c>
      <c r="F5">
        <f t="shared" si="0"/>
        <v>27.702231973087606</v>
      </c>
      <c r="G5">
        <f t="shared" si="0"/>
        <v>5.5480473892057915</v>
      </c>
      <c r="H5">
        <f t="shared" si="0"/>
        <v>2.8951645458534441</v>
      </c>
      <c r="I5">
        <f t="shared" si="0"/>
        <v>8.9427058651455305</v>
      </c>
      <c r="J5">
        <f t="shared" si="0"/>
        <v>0</v>
      </c>
    </row>
    <row r="6" spans="1:10" ht="15" customHeight="1" x14ac:dyDescent="0.25">
      <c r="A6" s="167" t="s">
        <v>252</v>
      </c>
      <c r="B6" s="167"/>
      <c r="C6" s="67">
        <v>161.22</v>
      </c>
      <c r="D6">
        <f t="shared" si="0"/>
        <v>40.527541136463363</v>
      </c>
      <c r="E6">
        <f t="shared" si="0"/>
        <v>6.8398239359368143</v>
      </c>
      <c r="F6">
        <f t="shared" si="0"/>
        <v>60.158322180781042</v>
      </c>
      <c r="G6">
        <f t="shared" si="0"/>
        <v>12.048170798595875</v>
      </c>
      <c r="H6">
        <f t="shared" si="0"/>
        <v>6.2871555506801222</v>
      </c>
      <c r="I6">
        <f t="shared" si="0"/>
        <v>19.420030166739799</v>
      </c>
      <c r="J6">
        <f t="shared" si="0"/>
        <v>0</v>
      </c>
    </row>
    <row r="7" spans="1:10" ht="15" customHeight="1" x14ac:dyDescent="0.25">
      <c r="A7" s="167" t="s">
        <v>253</v>
      </c>
      <c r="B7" s="167"/>
      <c r="C7" s="67">
        <v>326.10000000000002</v>
      </c>
      <c r="D7">
        <f t="shared" si="0"/>
        <v>81.975134379113655</v>
      </c>
      <c r="E7">
        <f t="shared" si="0"/>
        <v>13.834924857393592</v>
      </c>
      <c r="F7">
        <f t="shared" si="0"/>
        <v>121.68235245721807</v>
      </c>
      <c r="G7">
        <f t="shared" si="0"/>
        <v>24.369857942079861</v>
      </c>
      <c r="H7">
        <f t="shared" si="0"/>
        <v>12.717041465555067</v>
      </c>
      <c r="I7">
        <f t="shared" si="0"/>
        <v>39.280931878016673</v>
      </c>
      <c r="J7">
        <f t="shared" si="0"/>
        <v>0</v>
      </c>
    </row>
    <row r="8" spans="1:10" ht="15" customHeight="1" x14ac:dyDescent="0.25">
      <c r="A8" s="167" t="s">
        <v>254</v>
      </c>
      <c r="B8" s="167"/>
      <c r="C8" s="67">
        <v>847.21</v>
      </c>
      <c r="D8">
        <f t="shared" si="0"/>
        <v>212.97195215372238</v>
      </c>
      <c r="E8">
        <f t="shared" si="0"/>
        <v>35.943228115401489</v>
      </c>
      <c r="F8">
        <f t="shared" si="0"/>
        <v>316.13157260128708</v>
      </c>
      <c r="G8">
        <f t="shared" si="0"/>
        <v>63.313055342255367</v>
      </c>
      <c r="H8">
        <f t="shared" si="0"/>
        <v>33.038959521720045</v>
      </c>
      <c r="I8">
        <f t="shared" si="0"/>
        <v>102.05212602384087</v>
      </c>
      <c r="J8">
        <f t="shared" si="0"/>
        <v>0</v>
      </c>
    </row>
    <row r="9" spans="1:10" ht="15.75" thickBot="1" x14ac:dyDescent="0.3">
      <c r="A9" s="167" t="s">
        <v>255</v>
      </c>
      <c r="B9" s="167"/>
      <c r="C9" s="67">
        <v>779.07</v>
      </c>
      <c r="D9">
        <f t="shared" si="0"/>
        <v>195.84289463580518</v>
      </c>
      <c r="E9">
        <f t="shared" si="0"/>
        <v>33.052360958753837</v>
      </c>
      <c r="F9">
        <f t="shared" si="0"/>
        <v>290.70552078762614</v>
      </c>
      <c r="G9">
        <f t="shared" si="0"/>
        <v>58.220868527863097</v>
      </c>
      <c r="H9">
        <f t="shared" si="0"/>
        <v>30.381678916191309</v>
      </c>
      <c r="I9">
        <f t="shared" si="0"/>
        <v>93.844206066257144</v>
      </c>
      <c r="J9">
        <f t="shared" si="0"/>
        <v>0</v>
      </c>
    </row>
    <row r="10" spans="1:10" ht="15.75" hidden="1" thickBot="1" x14ac:dyDescent="0.3">
      <c r="A10" s="164"/>
      <c r="B10" s="164"/>
      <c r="C10" s="62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hidden="1" thickBot="1" x14ac:dyDescent="0.3">
      <c r="A11" s="148"/>
      <c r="B11" s="148"/>
      <c r="C11" s="26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1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1" x14ac:dyDescent="0.25">
      <c r="A18" s="137" t="s">
        <v>6</v>
      </c>
      <c r="B18" s="137"/>
      <c r="C18" s="12">
        <f>SUM(C5:C17)</f>
        <v>2187.84</v>
      </c>
      <c r="D18" s="2">
        <v>549.98</v>
      </c>
      <c r="E18" s="2">
        <v>92.82</v>
      </c>
      <c r="F18" s="2">
        <v>816.38</v>
      </c>
      <c r="G18" s="2">
        <v>163.5</v>
      </c>
      <c r="H18" s="2">
        <v>85.32</v>
      </c>
      <c r="I18" s="2">
        <v>263.54000000000002</v>
      </c>
      <c r="J18" s="2"/>
    </row>
    <row r="20" spans="1:11" s="47" customFormat="1" ht="27" customHeight="1" x14ac:dyDescent="0.25">
      <c r="D20" s="38" t="str">
        <f t="shared" ref="D20:F20" si="2">D4</f>
        <v>Вискоза 20текс</v>
      </c>
      <c r="E20" s="38" t="str">
        <f t="shared" si="2"/>
        <v>150dne суровая Турция</v>
      </c>
      <c r="F20" s="38" t="str">
        <f t="shared" si="2"/>
        <v>900dne  Турция</v>
      </c>
      <c r="G20" s="38" t="str">
        <f>G4</f>
        <v>Метанить</v>
      </c>
      <c r="H20" s="38" t="str">
        <f t="shared" ref="H20:J20" si="3">H4</f>
        <v>Трилобал серый</v>
      </c>
      <c r="I20" s="38" t="str">
        <f t="shared" si="3"/>
        <v xml:space="preserve">150dne суровая </v>
      </c>
      <c r="J20" s="38">
        <f t="shared" si="3"/>
        <v>0</v>
      </c>
      <c r="K20" s="65"/>
    </row>
    <row r="21" spans="1:11" x14ac:dyDescent="0.25">
      <c r="A21" s="141" t="str">
        <f>A5</f>
        <v xml:space="preserve">Производство 441 от 19.12.2025 </v>
      </c>
      <c r="B21" s="141"/>
      <c r="C21" s="22">
        <f>C5</f>
        <v>74.239999999999995</v>
      </c>
      <c r="D21">
        <f>ROUND(D5,3)</f>
        <v>18.661999999999999</v>
      </c>
      <c r="E21">
        <f t="shared" ref="E21:J33" si="4">ROUND(E5,3)</f>
        <v>3.15</v>
      </c>
      <c r="F21">
        <f t="shared" si="4"/>
        <v>27.702000000000002</v>
      </c>
      <c r="G21">
        <f t="shared" si="4"/>
        <v>5.548</v>
      </c>
      <c r="H21">
        <f t="shared" si="4"/>
        <v>2.895</v>
      </c>
      <c r="I21">
        <f t="shared" si="4"/>
        <v>8.9429999999999996</v>
      </c>
      <c r="J21">
        <f t="shared" si="4"/>
        <v>0</v>
      </c>
    </row>
    <row r="22" spans="1:11" x14ac:dyDescent="0.25">
      <c r="A22" s="141" t="str">
        <f t="shared" ref="A22:A33" si="5">A6</f>
        <v xml:space="preserve">Производство 445 от 20.12.2025 </v>
      </c>
      <c r="B22" s="141"/>
      <c r="C22" s="22">
        <f t="shared" ref="C22:C33" si="6">C6</f>
        <v>161.22</v>
      </c>
      <c r="D22">
        <f t="shared" ref="D22:G33" si="7">ROUND(D6,3)</f>
        <v>40.527999999999999</v>
      </c>
      <c r="E22">
        <f t="shared" si="7"/>
        <v>6.84</v>
      </c>
      <c r="F22">
        <f t="shared" si="7"/>
        <v>60.158000000000001</v>
      </c>
      <c r="G22">
        <f t="shared" si="7"/>
        <v>12.048</v>
      </c>
      <c r="H22">
        <f t="shared" si="4"/>
        <v>6.2869999999999999</v>
      </c>
      <c r="I22">
        <f t="shared" si="4"/>
        <v>19.420000000000002</v>
      </c>
      <c r="J22">
        <f t="shared" si="4"/>
        <v>0</v>
      </c>
    </row>
    <row r="23" spans="1:11" x14ac:dyDescent="0.25">
      <c r="A23" s="141" t="str">
        <f t="shared" si="5"/>
        <v xml:space="preserve">Производство 450 от 22.12.2025 </v>
      </c>
      <c r="B23" s="141"/>
      <c r="C23" s="22">
        <f t="shared" si="6"/>
        <v>326.10000000000002</v>
      </c>
      <c r="D23">
        <f t="shared" si="7"/>
        <v>81.974999999999994</v>
      </c>
      <c r="E23">
        <f t="shared" si="7"/>
        <v>13.835000000000001</v>
      </c>
      <c r="F23">
        <f t="shared" si="7"/>
        <v>121.682</v>
      </c>
      <c r="G23">
        <f t="shared" si="7"/>
        <v>24.37</v>
      </c>
      <c r="H23">
        <f t="shared" si="4"/>
        <v>12.717000000000001</v>
      </c>
      <c r="I23">
        <f t="shared" si="4"/>
        <v>39.280999999999999</v>
      </c>
      <c r="J23">
        <f t="shared" si="4"/>
        <v>0</v>
      </c>
    </row>
    <row r="24" spans="1:11" x14ac:dyDescent="0.25">
      <c r="A24" s="141" t="str">
        <f t="shared" si="5"/>
        <v xml:space="preserve">Производство 474 от 23.12.2025 </v>
      </c>
      <c r="B24" s="141"/>
      <c r="C24" s="22">
        <f t="shared" si="6"/>
        <v>847.21</v>
      </c>
      <c r="D24">
        <f t="shared" si="7"/>
        <v>212.97200000000001</v>
      </c>
      <c r="E24">
        <f t="shared" si="7"/>
        <v>35.942999999999998</v>
      </c>
      <c r="F24">
        <f t="shared" si="7"/>
        <v>316.13200000000001</v>
      </c>
      <c r="G24">
        <f t="shared" si="7"/>
        <v>63.313000000000002</v>
      </c>
      <c r="H24">
        <f t="shared" si="4"/>
        <v>33.039000000000001</v>
      </c>
      <c r="I24">
        <f t="shared" si="4"/>
        <v>102.05200000000001</v>
      </c>
      <c r="J24">
        <f t="shared" si="4"/>
        <v>0</v>
      </c>
    </row>
    <row r="25" spans="1:11" ht="15.75" thickBot="1" x14ac:dyDescent="0.3">
      <c r="A25" s="141" t="str">
        <f t="shared" si="5"/>
        <v xml:space="preserve">Производство 480 от 24.12.2025 </v>
      </c>
      <c r="B25" s="141"/>
      <c r="C25" s="22">
        <f t="shared" si="6"/>
        <v>779.07</v>
      </c>
      <c r="D25">
        <f t="shared" si="7"/>
        <v>195.84299999999999</v>
      </c>
      <c r="E25">
        <f t="shared" si="7"/>
        <v>33.052</v>
      </c>
      <c r="F25">
        <f t="shared" si="7"/>
        <v>290.70600000000002</v>
      </c>
      <c r="G25">
        <f t="shared" si="7"/>
        <v>58.220999999999997</v>
      </c>
      <c r="H25">
        <f t="shared" si="4"/>
        <v>30.382000000000001</v>
      </c>
      <c r="I25">
        <f t="shared" si="4"/>
        <v>93.843999999999994</v>
      </c>
      <c r="J25">
        <f t="shared" si="4"/>
        <v>0</v>
      </c>
    </row>
    <row r="26" spans="1:11" ht="15.75" hidden="1" thickBot="1" x14ac:dyDescent="0.3">
      <c r="A26" s="141">
        <f t="shared" si="5"/>
        <v>0</v>
      </c>
      <c r="B26" s="141"/>
      <c r="C26" s="22">
        <f t="shared" si="6"/>
        <v>0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1" ht="15.75" hidden="1" thickBot="1" x14ac:dyDescent="0.3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1" ht="15.75" hidden="1" thickBot="1" x14ac:dyDescent="0.3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1" ht="15.75" hidden="1" thickBot="1" x14ac:dyDescent="0.3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1" ht="15.75" hidden="1" thickBot="1" x14ac:dyDescent="0.3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1" ht="15.75" hidden="1" thickBot="1" x14ac:dyDescent="0.3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1" ht="15.75" hidden="1" thickBot="1" x14ac:dyDescent="0.3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2187.84</v>
      </c>
      <c r="D34" s="2">
        <f>SUM(D21:D33)</f>
        <v>549.98</v>
      </c>
      <c r="E34" s="68">
        <f>SUM(E21:E33)</f>
        <v>92.82</v>
      </c>
      <c r="F34" s="2">
        <f t="shared" ref="F34:J34" si="8">SUM(F21:F33)</f>
        <v>816.38</v>
      </c>
      <c r="G34" s="2">
        <f t="shared" si="8"/>
        <v>163.5</v>
      </c>
      <c r="H34" s="2">
        <f t="shared" si="8"/>
        <v>85.320000000000007</v>
      </c>
      <c r="I34" s="68">
        <f t="shared" si="8"/>
        <v>263.54000000000002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>Вискоза 20текс</v>
      </c>
      <c r="D38" s="63">
        <f>D18/C18</f>
        <v>0.25138035688167326</v>
      </c>
      <c r="E38" s="63">
        <v>0.20499999999999999</v>
      </c>
      <c r="F38" s="29">
        <f>D38/E38-1</f>
        <v>0.22624564332523556</v>
      </c>
      <c r="G38" s="63"/>
      <c r="H38" s="63"/>
      <c r="I38" s="63"/>
      <c r="J38" s="63"/>
    </row>
    <row r="39" spans="1:10" x14ac:dyDescent="0.25">
      <c r="C39" t="str">
        <f>E4</f>
        <v>150dne суровая Турция</v>
      </c>
      <c r="D39" s="66">
        <f>(E18+I18)/C18</f>
        <v>0.16288211203744332</v>
      </c>
      <c r="E39" s="63">
        <v>0.08</v>
      </c>
      <c r="F39" s="29">
        <f t="shared" ref="F39:F42" si="9">D39/E39-1</f>
        <v>1.0360264004680415</v>
      </c>
    </row>
    <row r="40" spans="1:10" x14ac:dyDescent="0.25">
      <c r="C40" t="str">
        <f>F4</f>
        <v>900dne  Турция</v>
      </c>
      <c r="D40" s="63">
        <f>F18/C18</f>
        <v>0.37314428843059821</v>
      </c>
      <c r="E40" s="63">
        <v>0.43</v>
      </c>
      <c r="F40" s="29">
        <f t="shared" si="9"/>
        <v>-0.13222258504512041</v>
      </c>
      <c r="G40" s="63"/>
      <c r="H40" s="63"/>
      <c r="I40" s="63"/>
      <c r="J40" s="63"/>
    </row>
    <row r="41" spans="1:10" x14ac:dyDescent="0.25">
      <c r="C41" t="str">
        <f>G4</f>
        <v>Метанить</v>
      </c>
      <c r="D41" s="63">
        <f>G18/C18</f>
        <v>7.4731241772707319E-2</v>
      </c>
      <c r="E41" s="63">
        <v>4.3999999999999997E-2</v>
      </c>
      <c r="F41" s="29">
        <f t="shared" si="9"/>
        <v>0.69843731301607548</v>
      </c>
    </row>
    <row r="42" spans="1:10" x14ac:dyDescent="0.25">
      <c r="C42" t="str">
        <f>H4</f>
        <v>Трилобал серый</v>
      </c>
      <c r="D42" s="63">
        <f>H18/C18</f>
        <v>3.8997367266344882E-2</v>
      </c>
      <c r="E42" s="63">
        <v>0.22</v>
      </c>
      <c r="F42" s="50">
        <f t="shared" si="9"/>
        <v>-0.82273923969843232</v>
      </c>
    </row>
    <row r="43" spans="1:10" hidden="1" x14ac:dyDescent="0.25">
      <c r="C43" t="str">
        <f>I4</f>
        <v xml:space="preserve">150dne суровая </v>
      </c>
      <c r="D43">
        <f>I18/C18</f>
        <v>0.1204567061576715</v>
      </c>
    </row>
    <row r="45" spans="1:10" x14ac:dyDescent="0.25">
      <c r="A45" s="138" t="s">
        <v>256</v>
      </c>
      <c r="B45" s="138"/>
      <c r="C45" s="138"/>
      <c r="D45" s="138"/>
      <c r="E45" s="138"/>
      <c r="F45" s="138"/>
      <c r="G45" s="138"/>
    </row>
    <row r="48" spans="1:10" x14ac:dyDescent="0.25">
      <c r="A48" t="s">
        <v>257</v>
      </c>
    </row>
    <row r="49" spans="1:1" x14ac:dyDescent="0.25">
      <c r="A49" t="s">
        <v>258</v>
      </c>
    </row>
  </sheetData>
  <mergeCells count="30">
    <mergeCell ref="A9:B9"/>
    <mergeCell ref="A1:E1"/>
    <mergeCell ref="A5:B5"/>
    <mergeCell ref="A6:B6"/>
    <mergeCell ref="A7:B7"/>
    <mergeCell ref="A8:B8"/>
    <mergeCell ref="A34:B34"/>
    <mergeCell ref="A45:G4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23:B23"/>
    <mergeCell ref="A10:B10"/>
    <mergeCell ref="A11:B11"/>
    <mergeCell ref="A12:B12"/>
    <mergeCell ref="A13:B13"/>
    <mergeCell ref="A14:B14"/>
    <mergeCell ref="A16:B16"/>
    <mergeCell ref="A17:B17"/>
    <mergeCell ref="A18:B18"/>
    <mergeCell ref="A21:B21"/>
    <mergeCell ref="A22:B22"/>
    <mergeCell ref="A15:B15"/>
  </mergeCells>
  <pageMargins left="0.70866141732283472" right="0.70866141732283472" top="0.74803149606299213" bottom="0.74803149606299213" header="0.31496062992125984" footer="0.31496062992125984"/>
  <pageSetup paperSize="9" scale="63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topLeftCell="A4" workbookViewId="0">
      <selection activeCell="N21" sqref="N21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hidden="1" customWidth="1"/>
    <col min="8" max="8" width="12.42578125" hidden="1" customWidth="1"/>
    <col min="9" max="10" width="10.5703125" hidden="1" customWidth="1"/>
  </cols>
  <sheetData>
    <row r="1" spans="1:10" x14ac:dyDescent="0.25">
      <c r="A1" s="138" t="s">
        <v>457</v>
      </c>
      <c r="B1" s="138"/>
      <c r="C1" s="138"/>
      <c r="D1" s="138"/>
      <c r="E1" s="138"/>
    </row>
    <row r="2" spans="1:10" x14ac:dyDescent="0.25">
      <c r="A2" s="37"/>
      <c r="B2" s="102"/>
      <c r="C2" s="102"/>
      <c r="D2" s="102"/>
      <c r="E2" s="102"/>
    </row>
    <row r="3" spans="1:10" x14ac:dyDescent="0.25">
      <c r="A3" s="37" t="s">
        <v>458</v>
      </c>
      <c r="C3" t="s">
        <v>447</v>
      </c>
      <c r="D3" s="89" t="s">
        <v>459</v>
      </c>
    </row>
    <row r="4" spans="1:10" x14ac:dyDescent="0.25">
      <c r="A4" s="37"/>
    </row>
    <row r="5" spans="1:10" ht="45" x14ac:dyDescent="0.25">
      <c r="D5" s="38" t="s">
        <v>215</v>
      </c>
      <c r="E5" s="38" t="s">
        <v>460</v>
      </c>
      <c r="F5" s="38" t="s">
        <v>461</v>
      </c>
      <c r="G5" s="38"/>
      <c r="H5" s="38"/>
      <c r="I5" s="38"/>
      <c r="J5" s="4"/>
    </row>
    <row r="6" spans="1:10" ht="15" customHeight="1" x14ac:dyDescent="0.25">
      <c r="A6" s="168" t="s">
        <v>462</v>
      </c>
      <c r="B6" s="168"/>
      <c r="C6" s="106">
        <v>62.95</v>
      </c>
      <c r="D6">
        <f t="shared" ref="D6:J18" si="0">$C6/$C$19*D$19</f>
        <v>15.39993812637497</v>
      </c>
      <c r="E6">
        <f t="shared" si="0"/>
        <v>15.239331764849672</v>
      </c>
      <c r="F6">
        <f t="shared" si="0"/>
        <v>9.8282437820826214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68" t="s">
        <v>463</v>
      </c>
      <c r="B7" s="168"/>
      <c r="C7" s="106">
        <v>294.27</v>
      </c>
      <c r="D7">
        <f t="shared" si="0"/>
        <v>71.989512191395747</v>
      </c>
      <c r="E7">
        <f t="shared" si="0"/>
        <v>71.238731667074077</v>
      </c>
      <c r="F7">
        <f t="shared" si="0"/>
        <v>45.943721965900757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x14ac:dyDescent="0.25">
      <c r="A8" s="168" t="s">
        <v>464</v>
      </c>
      <c r="B8" s="168"/>
      <c r="C8" s="106">
        <v>294.14</v>
      </c>
      <c r="D8">
        <f t="shared" si="0"/>
        <v>71.957709300904426</v>
      </c>
      <c r="E8">
        <f t="shared" si="0"/>
        <v>71.207260449767787</v>
      </c>
      <c r="F8">
        <f t="shared" si="0"/>
        <v>45.923425354436567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" customHeight="1" x14ac:dyDescent="0.25">
      <c r="A9" s="168" t="s">
        <v>465</v>
      </c>
      <c r="B9" s="168"/>
      <c r="C9" s="106">
        <v>146.25</v>
      </c>
      <c r="D9">
        <f t="shared" si="0"/>
        <v>35.778251802737721</v>
      </c>
      <c r="E9">
        <f t="shared" si="0"/>
        <v>35.405119469567346</v>
      </c>
      <c r="F9">
        <f t="shared" si="0"/>
        <v>22.833687897213395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x14ac:dyDescent="0.25">
      <c r="A10" s="168" t="s">
        <v>466</v>
      </c>
      <c r="B10" s="168"/>
      <c r="C10" s="106">
        <v>215.38</v>
      </c>
      <c r="D10">
        <f t="shared" si="0"/>
        <v>52.690050415546324</v>
      </c>
      <c r="E10">
        <f t="shared" si="0"/>
        <v>52.140544487900272</v>
      </c>
      <c r="F10">
        <f t="shared" si="0"/>
        <v>33.626801362747493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x14ac:dyDescent="0.25">
      <c r="A11" s="168" t="s">
        <v>467</v>
      </c>
      <c r="B11" s="168"/>
      <c r="C11" s="106">
        <v>221.75</v>
      </c>
      <c r="D11">
        <f t="shared" si="0"/>
        <v>54.248392049621124</v>
      </c>
      <c r="E11">
        <f t="shared" si="0"/>
        <v>53.682634135908103</v>
      </c>
      <c r="F11">
        <f t="shared" si="0"/>
        <v>34.62133532449279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.75" thickBot="1" x14ac:dyDescent="0.3">
      <c r="A12" s="168" t="s">
        <v>468</v>
      </c>
      <c r="B12" s="168"/>
      <c r="C12" s="106">
        <v>74.38</v>
      </c>
      <c r="D12">
        <f t="shared" si="0"/>
        <v>18.196146113419701</v>
      </c>
      <c r="E12">
        <f t="shared" si="0"/>
        <v>18.006378024932783</v>
      </c>
      <c r="F12">
        <f t="shared" si="0"/>
        <v>11.612784313126376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69"/>
      <c r="B13" s="169"/>
      <c r="C13" s="90"/>
      <c r="D13">
        <f>$C13/$C$19*D$19</f>
        <v>0</v>
      </c>
      <c r="E13">
        <f>$C13/$C$19*E$19</f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69"/>
      <c r="B14" s="169"/>
      <c r="C14" s="90"/>
      <c r="D14">
        <f t="shared" ref="D14:E18" si="1">$C14/$C$19*D$19</f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69"/>
      <c r="B15" s="169"/>
      <c r="C15" s="90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1" ht="15" hidden="1" customHeight="1" x14ac:dyDescent="0.25">
      <c r="A17" s="146"/>
      <c r="B17" s="146"/>
      <c r="C17" s="24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1" ht="15.75" hidden="1" customHeight="1" thickBot="1" x14ac:dyDescent="0.3">
      <c r="A18" s="141"/>
      <c r="B18" s="141"/>
      <c r="C18" s="11"/>
      <c r="D18">
        <f t="shared" si="1"/>
        <v>0</v>
      </c>
      <c r="E18">
        <f t="shared" si="1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</row>
    <row r="19" spans="1:11" x14ac:dyDescent="0.25">
      <c r="A19" s="137" t="s">
        <v>6</v>
      </c>
      <c r="B19" s="137"/>
      <c r="C19" s="12">
        <f>SUM(C6:C18)</f>
        <v>1309.1199999999999</v>
      </c>
      <c r="D19" s="2">
        <v>320.26</v>
      </c>
      <c r="E19" s="2">
        <v>316.92</v>
      </c>
      <c r="F19" s="2">
        <v>204.39</v>
      </c>
      <c r="G19" s="2"/>
      <c r="H19" s="2"/>
      <c r="I19" s="2"/>
      <c r="J19" s="2"/>
    </row>
    <row r="21" spans="1:11" s="47" customFormat="1" ht="27" customHeight="1" x14ac:dyDescent="0.25">
      <c r="D21" s="38" t="str">
        <f t="shared" ref="D21:F21" si="2">D5</f>
        <v xml:space="preserve">150dne суровая </v>
      </c>
      <c r="E21" s="38" t="str">
        <f t="shared" si="2"/>
        <v xml:space="preserve">600dne Турция </v>
      </c>
      <c r="F21" s="38" t="str">
        <f t="shared" si="2"/>
        <v>Нить 150D/48F №125</v>
      </c>
      <c r="G21" s="38">
        <f>G5</f>
        <v>0</v>
      </c>
      <c r="H21" s="38">
        <f t="shared" ref="H21:J21" si="3">H5</f>
        <v>0</v>
      </c>
      <c r="I21" s="38">
        <f t="shared" si="3"/>
        <v>0</v>
      </c>
      <c r="J21" s="38">
        <f t="shared" si="3"/>
        <v>0</v>
      </c>
      <c r="K21" s="65"/>
    </row>
    <row r="22" spans="1:11" x14ac:dyDescent="0.25">
      <c r="A22" s="141" t="str">
        <f>A6</f>
        <v xml:space="preserve">Производство 169 от 02.03.2026 </v>
      </c>
      <c r="B22" s="141"/>
      <c r="C22" s="22">
        <f>C6</f>
        <v>62.95</v>
      </c>
      <c r="D22">
        <f>ROUND(D6,3)</f>
        <v>15.4</v>
      </c>
      <c r="E22">
        <f t="shared" ref="E22:J34" si="4">ROUND(E6,3)</f>
        <v>15.239000000000001</v>
      </c>
      <c r="F22">
        <f t="shared" si="4"/>
        <v>9.8279999999999994</v>
      </c>
      <c r="G22">
        <f t="shared" si="4"/>
        <v>0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1" x14ac:dyDescent="0.25">
      <c r="A23" s="141" t="str">
        <f t="shared" ref="A23:A34" si="5">A7</f>
        <v xml:space="preserve">Производство 177 от 03.03.2026 </v>
      </c>
      <c r="B23" s="141"/>
      <c r="C23" s="22">
        <f t="shared" ref="C23:C34" si="6">C7</f>
        <v>294.27</v>
      </c>
      <c r="D23">
        <f t="shared" ref="D23:G34" si="7">ROUND(D7,3)</f>
        <v>71.989999999999995</v>
      </c>
      <c r="E23">
        <f t="shared" si="7"/>
        <v>71.239000000000004</v>
      </c>
      <c r="F23">
        <f t="shared" si="7"/>
        <v>45.944000000000003</v>
      </c>
      <c r="G23">
        <f t="shared" si="7"/>
        <v>0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1" x14ac:dyDescent="0.25">
      <c r="A24" s="141" t="str">
        <f t="shared" si="5"/>
        <v xml:space="preserve">Производство 193 от 04.03.2026 </v>
      </c>
      <c r="B24" s="141"/>
      <c r="C24" s="22">
        <f t="shared" si="6"/>
        <v>294.14</v>
      </c>
      <c r="D24">
        <f t="shared" si="7"/>
        <v>71.957999999999998</v>
      </c>
      <c r="E24">
        <f t="shared" si="7"/>
        <v>71.206999999999994</v>
      </c>
      <c r="F24">
        <f t="shared" si="7"/>
        <v>45.923000000000002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1" x14ac:dyDescent="0.25">
      <c r="A25" s="141" t="str">
        <f t="shared" si="5"/>
        <v xml:space="preserve">Производство 213 от 05.03.2026 </v>
      </c>
      <c r="B25" s="141"/>
      <c r="C25" s="22">
        <f t="shared" si="6"/>
        <v>146.25</v>
      </c>
      <c r="D25">
        <f t="shared" si="7"/>
        <v>35.777999999999999</v>
      </c>
      <c r="E25">
        <f t="shared" si="7"/>
        <v>35.405000000000001</v>
      </c>
      <c r="F25">
        <f t="shared" si="7"/>
        <v>22.834</v>
      </c>
      <c r="G25">
        <f t="shared" si="7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1" x14ac:dyDescent="0.25">
      <c r="A26" s="141" t="str">
        <f t="shared" si="5"/>
        <v xml:space="preserve">Производство 222 от 06.03.2026 </v>
      </c>
      <c r="B26" s="141"/>
      <c r="C26" s="22">
        <f t="shared" si="6"/>
        <v>215.38</v>
      </c>
      <c r="D26">
        <f t="shared" si="7"/>
        <v>52.69</v>
      </c>
      <c r="E26">
        <f t="shared" si="7"/>
        <v>52.140999999999998</v>
      </c>
      <c r="F26">
        <f t="shared" si="7"/>
        <v>33.627000000000002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1" x14ac:dyDescent="0.25">
      <c r="A27" s="141" t="str">
        <f t="shared" si="5"/>
        <v xml:space="preserve">Производство 252 от 07.03.2026 </v>
      </c>
      <c r="B27" s="141"/>
      <c r="C27" s="22">
        <f t="shared" si="6"/>
        <v>221.75</v>
      </c>
      <c r="D27">
        <f t="shared" si="7"/>
        <v>54.247999999999998</v>
      </c>
      <c r="E27">
        <f t="shared" si="7"/>
        <v>53.683</v>
      </c>
      <c r="F27">
        <f t="shared" si="7"/>
        <v>34.621000000000002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1" ht="15.75" thickBot="1" x14ac:dyDescent="0.3">
      <c r="A28" s="141" t="str">
        <f t="shared" si="5"/>
        <v xml:space="preserve">Производство 257 от 08.03.2026 </v>
      </c>
      <c r="B28" s="141"/>
      <c r="C28" s="22">
        <f t="shared" si="6"/>
        <v>74.38</v>
      </c>
      <c r="D28">
        <f t="shared" si="7"/>
        <v>18.196000000000002</v>
      </c>
      <c r="E28">
        <f t="shared" si="7"/>
        <v>18.006</v>
      </c>
      <c r="F28">
        <f t="shared" si="7"/>
        <v>11.613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1" hidden="1" x14ac:dyDescent="0.25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1" hidden="1" x14ac:dyDescent="0.25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1" hidden="1" x14ac:dyDescent="0.25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1" hidden="1" x14ac:dyDescent="0.25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idden="1" x14ac:dyDescent="0.25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.75" hidden="1" thickBot="1" x14ac:dyDescent="0.3">
      <c r="A34" s="141">
        <f t="shared" si="5"/>
        <v>0</v>
      </c>
      <c r="B34" s="141"/>
      <c r="C34" s="22">
        <f t="shared" si="6"/>
        <v>0</v>
      </c>
      <c r="D34">
        <f t="shared" si="7"/>
        <v>0</v>
      </c>
      <c r="E34">
        <f t="shared" si="7"/>
        <v>0</v>
      </c>
      <c r="F34">
        <f t="shared" si="7"/>
        <v>0</v>
      </c>
      <c r="G34">
        <f t="shared" si="7"/>
        <v>0</v>
      </c>
      <c r="H34">
        <f t="shared" si="4"/>
        <v>0</v>
      </c>
      <c r="I34">
        <f t="shared" si="4"/>
        <v>0</v>
      </c>
      <c r="J34">
        <f t="shared" si="4"/>
        <v>0</v>
      </c>
    </row>
    <row r="35" spans="1:10" ht="15" customHeight="1" x14ac:dyDescent="0.25">
      <c r="A35" s="137" t="s">
        <v>6</v>
      </c>
      <c r="B35" s="137"/>
      <c r="C35" s="12">
        <f>SUM(C22:C34)</f>
        <v>1309.1199999999999</v>
      </c>
      <c r="D35" s="2">
        <f>SUM(D22:D34)</f>
        <v>320.26000000000005</v>
      </c>
      <c r="E35" s="80">
        <f>SUM(E22:E34)</f>
        <v>316.91999999999996</v>
      </c>
      <c r="F35" s="2">
        <f t="shared" ref="F35:J35" si="8">SUM(F22:F34)</f>
        <v>204.39000000000001</v>
      </c>
      <c r="G35" s="2">
        <f t="shared" si="8"/>
        <v>0</v>
      </c>
      <c r="H35" s="2">
        <f t="shared" si="8"/>
        <v>0</v>
      </c>
      <c r="I35" s="68">
        <f>SUM(I22:I34)</f>
        <v>0</v>
      </c>
      <c r="J35" s="2">
        <f t="shared" si="8"/>
        <v>0</v>
      </c>
    </row>
    <row r="38" spans="1:10" x14ac:dyDescent="0.25">
      <c r="D38" t="s">
        <v>107</v>
      </c>
      <c r="E38" t="s">
        <v>108</v>
      </c>
      <c r="F38" t="s">
        <v>109</v>
      </c>
    </row>
    <row r="39" spans="1:10" x14ac:dyDescent="0.25">
      <c r="C39" t="str">
        <f>D5</f>
        <v xml:space="preserve">150dne суровая </v>
      </c>
      <c r="D39" s="102">
        <f>D19/C19</f>
        <v>0.24463761916401858</v>
      </c>
      <c r="E39" s="102">
        <v>8.1000000000000003E-2</v>
      </c>
      <c r="F39" s="29">
        <f>D39/E39-1</f>
        <v>2.0202175205434392</v>
      </c>
      <c r="G39" s="102"/>
      <c r="H39" s="102"/>
      <c r="I39" s="102"/>
      <c r="J39" s="102"/>
    </row>
    <row r="40" spans="1:10" x14ac:dyDescent="0.25">
      <c r="C40" t="str">
        <f>E5</f>
        <v xml:space="preserve">600dne Турция </v>
      </c>
      <c r="D40" s="79">
        <f>(E19+H19)/C19</f>
        <v>0.24208628697140067</v>
      </c>
      <c r="E40" s="102">
        <v>0.28999999999999998</v>
      </c>
      <c r="F40" s="29">
        <f t="shared" ref="F40:F43" si="9">D40/E40-1</f>
        <v>-0.16521970009861831</v>
      </c>
    </row>
    <row r="41" spans="1:10" ht="27" customHeight="1" x14ac:dyDescent="0.25">
      <c r="C41" s="105" t="str">
        <f>F5</f>
        <v>Нить 150D/48F №125</v>
      </c>
      <c r="D41" s="102">
        <f>F19/C19</f>
        <v>0.1561277804937668</v>
      </c>
      <c r="E41" s="102">
        <v>0.25</v>
      </c>
      <c r="F41" s="29">
        <f t="shared" si="9"/>
        <v>-0.3754888780249328</v>
      </c>
      <c r="G41" s="102"/>
      <c r="H41" s="102"/>
      <c r="I41" s="102"/>
      <c r="J41" s="102"/>
    </row>
    <row r="42" spans="1:10" hidden="1" x14ac:dyDescent="0.25">
      <c r="C42">
        <f>G5</f>
        <v>0</v>
      </c>
      <c r="D42" s="102">
        <f>G19/C19</f>
        <v>0</v>
      </c>
      <c r="E42" s="102">
        <v>0.10299999999999999</v>
      </c>
      <c r="F42" s="29">
        <f t="shared" si="9"/>
        <v>-1</v>
      </c>
    </row>
    <row r="43" spans="1:10" hidden="1" x14ac:dyDescent="0.25">
      <c r="D43" s="102">
        <f>H19/C19</f>
        <v>0</v>
      </c>
      <c r="E43" s="102"/>
      <c r="F43" s="50" t="e">
        <f t="shared" si="9"/>
        <v>#DIV/0!</v>
      </c>
    </row>
    <row r="44" spans="1:10" hidden="1" x14ac:dyDescent="0.25">
      <c r="C44">
        <f>I5</f>
        <v>0</v>
      </c>
      <c r="D44">
        <f>I19/C19</f>
        <v>0</v>
      </c>
    </row>
    <row r="46" spans="1:10" x14ac:dyDescent="0.25">
      <c r="A46" s="138" t="s">
        <v>256</v>
      </c>
      <c r="B46" s="138"/>
      <c r="C46" s="138"/>
      <c r="D46" s="138"/>
      <c r="E46" s="138"/>
      <c r="F46" s="138"/>
      <c r="G46" s="138"/>
    </row>
  </sheetData>
  <mergeCells count="30">
    <mergeCell ref="A10:B10"/>
    <mergeCell ref="A11:B11"/>
    <mergeCell ref="A12:B12"/>
    <mergeCell ref="A31:B31"/>
    <mergeCell ref="A32:B32"/>
    <mergeCell ref="A17:B17"/>
    <mergeCell ref="A18:B18"/>
    <mergeCell ref="A19:B19"/>
    <mergeCell ref="A22:B22"/>
    <mergeCell ref="A23:B23"/>
    <mergeCell ref="A24:B24"/>
    <mergeCell ref="A13:B13"/>
    <mergeCell ref="A14:B14"/>
    <mergeCell ref="A15:B15"/>
    <mergeCell ref="A16:B16"/>
    <mergeCell ref="A33:B33"/>
    <mergeCell ref="A34:B34"/>
    <mergeCell ref="A35:B35"/>
    <mergeCell ref="A46:G46"/>
    <mergeCell ref="A25:B25"/>
    <mergeCell ref="A26:B26"/>
    <mergeCell ref="A27:B27"/>
    <mergeCell ref="A28:B28"/>
    <mergeCell ref="A29:B29"/>
    <mergeCell ref="A30:B30"/>
    <mergeCell ref="A1:E1"/>
    <mergeCell ref="A6:B6"/>
    <mergeCell ref="A7:B7"/>
    <mergeCell ref="A8:B8"/>
    <mergeCell ref="A9:B9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workbookViewId="0">
      <selection activeCell="F39" sqref="F39:F42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12.42578125" customWidth="1"/>
    <col min="9" max="10" width="10.5703125" hidden="1" customWidth="1"/>
  </cols>
  <sheetData>
    <row r="1" spans="1:10" x14ac:dyDescent="0.25">
      <c r="A1" s="138" t="s">
        <v>445</v>
      </c>
      <c r="B1" s="138"/>
      <c r="C1" s="138"/>
      <c r="D1" s="138"/>
      <c r="E1" s="138"/>
    </row>
    <row r="2" spans="1:10" x14ac:dyDescent="0.25">
      <c r="A2" s="37"/>
      <c r="B2" s="100"/>
      <c r="C2" s="100"/>
      <c r="D2" s="100"/>
      <c r="E2" s="100"/>
    </row>
    <row r="3" spans="1:10" x14ac:dyDescent="0.25">
      <c r="A3" s="37" t="s">
        <v>446</v>
      </c>
      <c r="C3" t="s">
        <v>447</v>
      </c>
      <c r="D3" s="89" t="s">
        <v>451</v>
      </c>
    </row>
    <row r="4" spans="1:10" x14ac:dyDescent="0.25">
      <c r="A4" s="37"/>
    </row>
    <row r="5" spans="1:10" ht="45" x14ac:dyDescent="0.25">
      <c r="D5" s="38" t="s">
        <v>215</v>
      </c>
      <c r="E5" s="38" t="s">
        <v>7</v>
      </c>
      <c r="F5" s="38" t="s">
        <v>448</v>
      </c>
      <c r="G5" s="38" t="s">
        <v>449</v>
      </c>
      <c r="H5" s="38" t="s">
        <v>450</v>
      </c>
      <c r="I5" s="38"/>
      <c r="J5" s="4"/>
    </row>
    <row r="6" spans="1:10" ht="15" customHeight="1" x14ac:dyDescent="0.25">
      <c r="A6" s="170" t="s">
        <v>452</v>
      </c>
      <c r="B6" s="170"/>
      <c r="C6" s="103">
        <v>54.44</v>
      </c>
      <c r="D6">
        <f t="shared" ref="D6:J18" si="0">$C6/$C$19*D$19</f>
        <v>4.8667206456307461</v>
      </c>
      <c r="E6">
        <f t="shared" si="0"/>
        <v>7.9861178805318502</v>
      </c>
      <c r="F6">
        <f t="shared" si="0"/>
        <v>10.545881854865382</v>
      </c>
      <c r="G6">
        <f t="shared" si="0"/>
        <v>7.0930094595488518</v>
      </c>
      <c r="H6">
        <f t="shared" si="0"/>
        <v>6.3554747635112774</v>
      </c>
      <c r="I6">
        <f t="shared" si="0"/>
        <v>0</v>
      </c>
      <c r="J6">
        <f t="shared" si="0"/>
        <v>0</v>
      </c>
    </row>
    <row r="7" spans="1:10" ht="15" customHeight="1" x14ac:dyDescent="0.25">
      <c r="A7" s="170" t="s">
        <v>453</v>
      </c>
      <c r="B7" s="170"/>
      <c r="C7" s="103">
        <v>197.16</v>
      </c>
      <c r="D7">
        <f t="shared" si="0"/>
        <v>17.625324072236552</v>
      </c>
      <c r="E7">
        <f t="shared" si="0"/>
        <v>28.922538598928355</v>
      </c>
      <c r="F7">
        <f t="shared" si="0"/>
        <v>38.192984322286165</v>
      </c>
      <c r="G7">
        <f t="shared" si="0"/>
        <v>25.688055566580669</v>
      </c>
      <c r="H7">
        <f t="shared" si="0"/>
        <v>23.016998610835479</v>
      </c>
      <c r="I7">
        <f t="shared" si="0"/>
        <v>0</v>
      </c>
      <c r="J7">
        <f t="shared" si="0"/>
        <v>0</v>
      </c>
    </row>
    <row r="8" spans="1:10" ht="15" customHeight="1" x14ac:dyDescent="0.25">
      <c r="A8" s="170" t="s">
        <v>454</v>
      </c>
      <c r="B8" s="170"/>
      <c r="C8" s="103">
        <v>210.03</v>
      </c>
      <c r="D8">
        <f t="shared" si="0"/>
        <v>18.775851160944626</v>
      </c>
      <c r="E8">
        <f t="shared" si="0"/>
        <v>30.810513197062903</v>
      </c>
      <c r="F8">
        <f t="shared" si="0"/>
        <v>40.686105179599117</v>
      </c>
      <c r="G8">
        <f t="shared" si="0"/>
        <v>27.364893034332205</v>
      </c>
      <c r="H8">
        <f t="shared" si="0"/>
        <v>24.51947767414169</v>
      </c>
      <c r="I8">
        <f t="shared" si="0"/>
        <v>0</v>
      </c>
      <c r="J8">
        <f t="shared" si="0"/>
        <v>0</v>
      </c>
    </row>
    <row r="9" spans="1:10" ht="15" customHeight="1" x14ac:dyDescent="0.25">
      <c r="A9" s="170" t="s">
        <v>455</v>
      </c>
      <c r="B9" s="170"/>
      <c r="C9" s="103">
        <v>276.32</v>
      </c>
      <c r="D9">
        <f t="shared" si="0"/>
        <v>24.701914930211014</v>
      </c>
      <c r="E9">
        <f t="shared" si="0"/>
        <v>40.534975987299063</v>
      </c>
      <c r="F9">
        <f t="shared" si="0"/>
        <v>53.527517893761981</v>
      </c>
      <c r="G9">
        <f t="shared" si="0"/>
        <v>36.001843752067209</v>
      </c>
      <c r="H9">
        <f t="shared" si="0"/>
        <v>32.258353906198316</v>
      </c>
      <c r="I9">
        <f t="shared" si="0"/>
        <v>0</v>
      </c>
      <c r="J9">
        <f t="shared" si="0"/>
        <v>0</v>
      </c>
    </row>
    <row r="10" spans="1:10" ht="15.75" thickBot="1" x14ac:dyDescent="0.3">
      <c r="A10" s="170" t="s">
        <v>456</v>
      </c>
      <c r="B10" s="170"/>
      <c r="C10" s="103">
        <v>17.899999999999999</v>
      </c>
      <c r="D10">
        <f t="shared" si="0"/>
        <v>1.6001891909770452</v>
      </c>
      <c r="E10">
        <f t="shared" si="0"/>
        <v>2.6258543361778126</v>
      </c>
      <c r="F10">
        <f t="shared" si="0"/>
        <v>3.4675107494873312</v>
      </c>
      <c r="G10">
        <f t="shared" si="0"/>
        <v>2.3321981874710587</v>
      </c>
      <c r="H10">
        <f t="shared" si="0"/>
        <v>2.0896950453132228</v>
      </c>
      <c r="I10">
        <f t="shared" si="0"/>
        <v>0</v>
      </c>
      <c r="J10">
        <f t="shared" si="0"/>
        <v>0</v>
      </c>
    </row>
    <row r="11" spans="1:10" hidden="1" x14ac:dyDescent="0.25">
      <c r="A11" s="169"/>
      <c r="B11" s="169"/>
      <c r="C11" s="90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idden="1" x14ac:dyDescent="0.25">
      <c r="A12" s="169"/>
      <c r="B12" s="169"/>
      <c r="C12" s="90"/>
      <c r="D12">
        <f t="shared" si="0"/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69"/>
      <c r="B13" s="169"/>
      <c r="C13" s="90"/>
      <c r="D13">
        <f>$C13/$C$19*D$19</f>
        <v>0</v>
      </c>
      <c r="E13">
        <f>$C13/$C$19*E$19</f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69"/>
      <c r="B14" s="169"/>
      <c r="C14" s="90"/>
      <c r="D14">
        <f t="shared" ref="D14:E18" si="1">$C14/$C$19*D$19</f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thickBot="1" x14ac:dyDescent="0.3">
      <c r="A15" s="169"/>
      <c r="B15" s="169"/>
      <c r="C15" s="90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1" ht="15" hidden="1" customHeight="1" x14ac:dyDescent="0.25">
      <c r="A17" s="146"/>
      <c r="B17" s="146"/>
      <c r="C17" s="24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1" ht="15.75" hidden="1" customHeight="1" thickBot="1" x14ac:dyDescent="0.3">
      <c r="A18" s="141"/>
      <c r="B18" s="141"/>
      <c r="C18" s="11"/>
      <c r="D18">
        <f t="shared" si="1"/>
        <v>0</v>
      </c>
      <c r="E18">
        <f t="shared" si="1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</row>
    <row r="19" spans="1:11" x14ac:dyDescent="0.25">
      <c r="A19" s="137" t="s">
        <v>6</v>
      </c>
      <c r="B19" s="137"/>
      <c r="C19" s="12">
        <f>SUM(C6:C18)</f>
        <v>755.85</v>
      </c>
      <c r="D19" s="2">
        <v>67.569999999999993</v>
      </c>
      <c r="E19" s="2">
        <v>110.88</v>
      </c>
      <c r="F19" s="2">
        <v>146.41999999999999</v>
      </c>
      <c r="G19" s="2">
        <v>98.48</v>
      </c>
      <c r="H19" s="2">
        <v>88.24</v>
      </c>
      <c r="I19" s="2"/>
      <c r="J19" s="2"/>
    </row>
    <row r="21" spans="1:11" s="47" customFormat="1" ht="27" customHeight="1" x14ac:dyDescent="0.25">
      <c r="D21" s="38" t="str">
        <f t="shared" ref="D21:F21" si="2">D5</f>
        <v xml:space="preserve">150dne суровая </v>
      </c>
      <c r="E21" s="38" t="str">
        <f t="shared" si="2"/>
        <v>600dne</v>
      </c>
      <c r="F21" s="38" t="str">
        <f t="shared" si="2"/>
        <v>Нить 170D/48F №185</v>
      </c>
      <c r="G21" s="38" t="str">
        <f>G5</f>
        <v>Нить 150D/48F №13</v>
      </c>
      <c r="H21" s="38" t="str">
        <f t="shared" ref="H21:J21" si="3">H5</f>
        <v>600dne Турция</v>
      </c>
      <c r="I21" s="38">
        <f t="shared" si="3"/>
        <v>0</v>
      </c>
      <c r="J21" s="38">
        <f t="shared" si="3"/>
        <v>0</v>
      </c>
      <c r="K21" s="65"/>
    </row>
    <row r="22" spans="1:11" x14ac:dyDescent="0.25">
      <c r="A22" s="141" t="str">
        <f>A6</f>
        <v xml:space="preserve">Производство 148 от 27.02.2026 </v>
      </c>
      <c r="B22" s="141"/>
      <c r="C22" s="22">
        <f>C6</f>
        <v>54.44</v>
      </c>
      <c r="D22">
        <f>ROUND(D6,3)</f>
        <v>4.867</v>
      </c>
      <c r="E22">
        <f t="shared" ref="E22:J34" si="4">ROUND(E6,3)</f>
        <v>7.9859999999999998</v>
      </c>
      <c r="F22">
        <f t="shared" si="4"/>
        <v>10.545999999999999</v>
      </c>
      <c r="G22">
        <f t="shared" si="4"/>
        <v>7.093</v>
      </c>
      <c r="H22">
        <f t="shared" si="4"/>
        <v>6.3550000000000004</v>
      </c>
      <c r="I22">
        <f t="shared" si="4"/>
        <v>0</v>
      </c>
      <c r="J22">
        <f t="shared" si="4"/>
        <v>0</v>
      </c>
    </row>
    <row r="23" spans="1:11" x14ac:dyDescent="0.25">
      <c r="A23" s="141" t="str">
        <f t="shared" ref="A23:A34" si="5">A7</f>
        <v xml:space="preserve">Производство 149 от 28.02.2026 </v>
      </c>
      <c r="B23" s="141"/>
      <c r="C23" s="22">
        <f t="shared" ref="C23:C34" si="6">C7</f>
        <v>197.16</v>
      </c>
      <c r="D23">
        <f t="shared" ref="D23:G34" si="7">ROUND(D7,3)</f>
        <v>17.625</v>
      </c>
      <c r="E23">
        <f t="shared" si="7"/>
        <v>28.922999999999998</v>
      </c>
      <c r="F23">
        <f t="shared" si="7"/>
        <v>38.192999999999998</v>
      </c>
      <c r="G23">
        <f t="shared" si="7"/>
        <v>25.687999999999999</v>
      </c>
      <c r="H23">
        <f t="shared" si="4"/>
        <v>23.016999999999999</v>
      </c>
      <c r="I23">
        <f t="shared" si="4"/>
        <v>0</v>
      </c>
      <c r="J23">
        <f t="shared" si="4"/>
        <v>0</v>
      </c>
    </row>
    <row r="24" spans="1:11" x14ac:dyDescent="0.25">
      <c r="A24" s="141" t="str">
        <f t="shared" si="5"/>
        <v xml:space="preserve">Производство 157 от 01.03.2026 </v>
      </c>
      <c r="B24" s="141"/>
      <c r="C24" s="22">
        <f t="shared" si="6"/>
        <v>210.03</v>
      </c>
      <c r="D24">
        <f t="shared" si="7"/>
        <v>18.776</v>
      </c>
      <c r="E24">
        <f t="shared" si="7"/>
        <v>30.811</v>
      </c>
      <c r="F24">
        <f t="shared" si="7"/>
        <v>40.686</v>
      </c>
      <c r="G24">
        <f t="shared" si="7"/>
        <v>27.364999999999998</v>
      </c>
      <c r="H24">
        <f t="shared" si="4"/>
        <v>24.518999999999998</v>
      </c>
      <c r="I24">
        <f t="shared" si="4"/>
        <v>0</v>
      </c>
      <c r="J24">
        <f t="shared" si="4"/>
        <v>0</v>
      </c>
    </row>
    <row r="25" spans="1:11" x14ac:dyDescent="0.25">
      <c r="A25" s="141" t="str">
        <f t="shared" si="5"/>
        <v xml:space="preserve">Производство 159 от 02.03.2026 </v>
      </c>
      <c r="B25" s="141"/>
      <c r="C25" s="22">
        <f t="shared" si="6"/>
        <v>276.32</v>
      </c>
      <c r="D25">
        <f t="shared" si="7"/>
        <v>24.702000000000002</v>
      </c>
      <c r="E25">
        <f t="shared" si="7"/>
        <v>40.534999999999997</v>
      </c>
      <c r="F25">
        <f t="shared" si="7"/>
        <v>53.527999999999999</v>
      </c>
      <c r="G25">
        <f t="shared" si="7"/>
        <v>36.002000000000002</v>
      </c>
      <c r="H25">
        <f t="shared" si="4"/>
        <v>32.258000000000003</v>
      </c>
      <c r="I25">
        <f t="shared" si="4"/>
        <v>0</v>
      </c>
      <c r="J25">
        <f t="shared" si="4"/>
        <v>0</v>
      </c>
    </row>
    <row r="26" spans="1:11" ht="15.75" thickBot="1" x14ac:dyDescent="0.3">
      <c r="A26" s="141" t="str">
        <f t="shared" si="5"/>
        <v xml:space="preserve">Производство 170 от 03.03.2026 </v>
      </c>
      <c r="B26" s="141"/>
      <c r="C26" s="22">
        <f t="shared" si="6"/>
        <v>17.899999999999999</v>
      </c>
      <c r="D26">
        <f t="shared" si="7"/>
        <v>1.6</v>
      </c>
      <c r="E26">
        <f t="shared" si="7"/>
        <v>2.6259999999999999</v>
      </c>
      <c r="F26">
        <f t="shared" si="7"/>
        <v>3.468</v>
      </c>
      <c r="G26">
        <f t="shared" si="7"/>
        <v>2.3319999999999999</v>
      </c>
      <c r="H26">
        <f t="shared" si="4"/>
        <v>2.09</v>
      </c>
      <c r="I26">
        <f t="shared" si="4"/>
        <v>0</v>
      </c>
      <c r="J26">
        <f t="shared" si="4"/>
        <v>0</v>
      </c>
    </row>
    <row r="27" spans="1:11" hidden="1" x14ac:dyDescent="0.25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1" hidden="1" x14ac:dyDescent="0.25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1" hidden="1" x14ac:dyDescent="0.25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1" hidden="1" x14ac:dyDescent="0.25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1" ht="15.75" hidden="1" thickBot="1" x14ac:dyDescent="0.3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1" ht="15.75" hidden="1" thickBot="1" x14ac:dyDescent="0.3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.75" hidden="1" thickBot="1" x14ac:dyDescent="0.3">
      <c r="A34" s="141">
        <f t="shared" si="5"/>
        <v>0</v>
      </c>
      <c r="B34" s="141"/>
      <c r="C34" s="22">
        <f t="shared" si="6"/>
        <v>0</v>
      </c>
      <c r="D34">
        <f t="shared" si="7"/>
        <v>0</v>
      </c>
      <c r="E34">
        <f t="shared" si="7"/>
        <v>0</v>
      </c>
      <c r="F34">
        <f t="shared" si="7"/>
        <v>0</v>
      </c>
      <c r="G34">
        <f t="shared" si="7"/>
        <v>0</v>
      </c>
      <c r="H34">
        <f t="shared" si="4"/>
        <v>0</v>
      </c>
      <c r="I34">
        <f t="shared" si="4"/>
        <v>0</v>
      </c>
      <c r="J34">
        <f t="shared" si="4"/>
        <v>0</v>
      </c>
    </row>
    <row r="35" spans="1:10" ht="15" customHeight="1" x14ac:dyDescent="0.25">
      <c r="A35" s="137" t="s">
        <v>6</v>
      </c>
      <c r="B35" s="137"/>
      <c r="C35" s="12">
        <f>SUM(C22:C34)</f>
        <v>755.85</v>
      </c>
      <c r="D35" s="2">
        <f>SUM(D22:D34)</f>
        <v>67.569999999999993</v>
      </c>
      <c r="E35" s="80">
        <f>SUM(E22:E34)</f>
        <v>110.881</v>
      </c>
      <c r="F35" s="2">
        <f t="shared" ref="F35:J35" si="8">SUM(F22:F34)</f>
        <v>146.42099999999999</v>
      </c>
      <c r="G35" s="2">
        <f t="shared" si="8"/>
        <v>98.47999999999999</v>
      </c>
      <c r="H35" s="2">
        <f t="shared" si="8"/>
        <v>88.239000000000004</v>
      </c>
      <c r="I35" s="68">
        <f>SUM(I22:I34)</f>
        <v>0</v>
      </c>
      <c r="J35" s="2">
        <f t="shared" si="8"/>
        <v>0</v>
      </c>
    </row>
    <row r="38" spans="1:10" x14ac:dyDescent="0.25">
      <c r="D38" t="s">
        <v>107</v>
      </c>
      <c r="E38" t="s">
        <v>108</v>
      </c>
      <c r="F38" t="s">
        <v>109</v>
      </c>
    </row>
    <row r="39" spans="1:10" x14ac:dyDescent="0.25">
      <c r="C39" t="str">
        <f>D5</f>
        <v xml:space="preserve">150dne суровая </v>
      </c>
      <c r="D39" s="100">
        <f>D19/C19</f>
        <v>8.9396044188661761E-2</v>
      </c>
      <c r="E39" s="100">
        <v>7.2999999999999995E-2</v>
      </c>
      <c r="F39" s="29">
        <f>D39/E39-1</f>
        <v>0.22460334505016122</v>
      </c>
      <c r="G39" s="100"/>
      <c r="H39" s="100"/>
      <c r="I39" s="100"/>
      <c r="J39" s="100"/>
    </row>
    <row r="40" spans="1:10" x14ac:dyDescent="0.25">
      <c r="C40" t="str">
        <f>E5</f>
        <v>600dne</v>
      </c>
      <c r="D40" s="79">
        <f>(E19+H19)/C19</f>
        <v>0.26343851293246012</v>
      </c>
      <c r="E40" s="100">
        <v>0.31</v>
      </c>
      <c r="F40" s="29">
        <f t="shared" ref="F40:F43" si="9">D40/E40-1</f>
        <v>-0.15019834537916088</v>
      </c>
    </row>
    <row r="41" spans="1:10" x14ac:dyDescent="0.25">
      <c r="C41" t="str">
        <f>F5</f>
        <v>Нить 170D/48F №185</v>
      </c>
      <c r="D41" s="100">
        <f>F19/C19</f>
        <v>0.19371568432890121</v>
      </c>
      <c r="E41" s="100">
        <v>0.14499999999999999</v>
      </c>
      <c r="F41" s="29">
        <f t="shared" si="9"/>
        <v>0.33597023675104287</v>
      </c>
      <c r="G41" s="100"/>
      <c r="H41" s="100"/>
      <c r="I41" s="100"/>
      <c r="J41" s="100"/>
    </row>
    <row r="42" spans="1:10" x14ac:dyDescent="0.25">
      <c r="C42" t="str">
        <f>G5</f>
        <v>Нить 150D/48F №13</v>
      </c>
      <c r="D42" s="100">
        <f>G19/C19</f>
        <v>0.13029040153469604</v>
      </c>
      <c r="E42" s="100">
        <v>0.10299999999999999</v>
      </c>
      <c r="F42" s="29">
        <f t="shared" si="9"/>
        <v>0.26495535470578679</v>
      </c>
    </row>
    <row r="43" spans="1:10" hidden="1" x14ac:dyDescent="0.25">
      <c r="D43" s="100">
        <f>H19/C19</f>
        <v>0.11674273996163259</v>
      </c>
      <c r="E43" s="100"/>
      <c r="F43" s="50" t="e">
        <f t="shared" si="9"/>
        <v>#DIV/0!</v>
      </c>
    </row>
    <row r="44" spans="1:10" hidden="1" x14ac:dyDescent="0.25">
      <c r="C44">
        <f>I5</f>
        <v>0</v>
      </c>
      <c r="D44">
        <f>I19/C19</f>
        <v>0</v>
      </c>
    </row>
    <row r="46" spans="1:10" x14ac:dyDescent="0.25">
      <c r="A46" s="138" t="s">
        <v>256</v>
      </c>
      <c r="B46" s="138"/>
      <c r="C46" s="138"/>
      <c r="D46" s="138"/>
      <c r="E46" s="138"/>
      <c r="F46" s="138"/>
      <c r="G46" s="138"/>
    </row>
  </sheetData>
  <mergeCells count="30">
    <mergeCell ref="A10:B10"/>
    <mergeCell ref="A1:E1"/>
    <mergeCell ref="A6:B6"/>
    <mergeCell ref="A7:B7"/>
    <mergeCell ref="A8:B8"/>
    <mergeCell ref="A9:B9"/>
    <mergeCell ref="A35:B35"/>
    <mergeCell ref="A46:G4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4:B24"/>
    <mergeCell ref="A11:B11"/>
    <mergeCell ref="A12:B12"/>
    <mergeCell ref="A13:B13"/>
    <mergeCell ref="A14:B14"/>
    <mergeCell ref="A15:B15"/>
    <mergeCell ref="A17:B17"/>
    <mergeCell ref="A18:B18"/>
    <mergeCell ref="A19:B19"/>
    <mergeCell ref="A22:B22"/>
    <mergeCell ref="A23:B23"/>
    <mergeCell ref="A16:B16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workbookViewId="0">
      <selection activeCell="L37" sqref="L37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12.42578125" customWidth="1"/>
    <col min="9" max="10" width="10.5703125" hidden="1" customWidth="1"/>
  </cols>
  <sheetData>
    <row r="1" spans="1:10" x14ac:dyDescent="0.25">
      <c r="A1" s="138" t="s">
        <v>375</v>
      </c>
      <c r="B1" s="138"/>
      <c r="C1" s="138"/>
      <c r="D1" s="138"/>
      <c r="E1" s="138"/>
    </row>
    <row r="2" spans="1:10" x14ac:dyDescent="0.25">
      <c r="A2" s="37"/>
      <c r="B2" s="84"/>
      <c r="C2" s="84"/>
      <c r="D2" s="84"/>
      <c r="E2" s="84"/>
    </row>
    <row r="3" spans="1:10" x14ac:dyDescent="0.25">
      <c r="A3" s="37" t="s">
        <v>376</v>
      </c>
      <c r="C3" t="s">
        <v>377</v>
      </c>
      <c r="D3" s="89" t="s">
        <v>378</v>
      </c>
    </row>
    <row r="4" spans="1:10" x14ac:dyDescent="0.25">
      <c r="A4" s="37"/>
    </row>
    <row r="5" spans="1:10" ht="30" x14ac:dyDescent="0.25">
      <c r="D5" s="38" t="s">
        <v>379</v>
      </c>
      <c r="E5" s="38" t="s">
        <v>215</v>
      </c>
      <c r="F5" s="38" t="s">
        <v>248</v>
      </c>
      <c r="G5" s="38" t="s">
        <v>380</v>
      </c>
      <c r="H5" s="38" t="s">
        <v>346</v>
      </c>
      <c r="I5" s="38"/>
      <c r="J5" s="4"/>
    </row>
    <row r="6" spans="1:10" ht="15" customHeight="1" x14ac:dyDescent="0.25">
      <c r="A6" s="169" t="s">
        <v>381</v>
      </c>
      <c r="B6" s="169"/>
      <c r="C6" s="90">
        <v>47.06</v>
      </c>
      <c r="D6">
        <f t="shared" ref="D6:J18" si="0">$C6/$C$19*D$19</f>
        <v>15.744077618744878</v>
      </c>
      <c r="E6">
        <f t="shared" si="0"/>
        <v>2.7875308281356492</v>
      </c>
      <c r="F6">
        <f t="shared" si="0"/>
        <v>35.184018969398089</v>
      </c>
      <c r="G6">
        <f t="shared" si="0"/>
        <v>1.1466018316465916</v>
      </c>
      <c r="H6">
        <f t="shared" si="0"/>
        <v>4.4427451788976899</v>
      </c>
      <c r="I6">
        <f t="shared" si="0"/>
        <v>0</v>
      </c>
      <c r="J6">
        <f t="shared" si="0"/>
        <v>0</v>
      </c>
    </row>
    <row r="7" spans="1:10" ht="15" customHeight="1" x14ac:dyDescent="0.25">
      <c r="A7" s="169" t="s">
        <v>382</v>
      </c>
      <c r="B7" s="169"/>
      <c r="C7" s="90">
        <v>40.08</v>
      </c>
      <c r="D7">
        <f t="shared" si="0"/>
        <v>13.408895685492876</v>
      </c>
      <c r="E7">
        <f t="shared" si="0"/>
        <v>2.3740806543067747</v>
      </c>
      <c r="F7">
        <f t="shared" si="0"/>
        <v>29.965479819240873</v>
      </c>
      <c r="G7">
        <f t="shared" si="0"/>
        <v>0.97653636660423704</v>
      </c>
      <c r="H7">
        <f t="shared" si="0"/>
        <v>3.7837914740803105</v>
      </c>
      <c r="I7">
        <f t="shared" si="0"/>
        <v>0</v>
      </c>
      <c r="J7">
        <f t="shared" si="0"/>
        <v>0</v>
      </c>
    </row>
    <row r="8" spans="1:10" ht="15" customHeight="1" x14ac:dyDescent="0.25">
      <c r="A8" s="169" t="s">
        <v>383</v>
      </c>
      <c r="B8" s="169"/>
      <c r="C8" s="90">
        <v>242.59</v>
      </c>
      <c r="D8">
        <f t="shared" si="0"/>
        <v>81.159281545501912</v>
      </c>
      <c r="E8">
        <f t="shared" si="0"/>
        <v>14.369466714777456</v>
      </c>
      <c r="F8">
        <f t="shared" si="0"/>
        <v>181.37040292788529</v>
      </c>
      <c r="G8">
        <f t="shared" si="0"/>
        <v>5.9106276740150161</v>
      </c>
      <c r="H8">
        <f t="shared" si="0"/>
        <v>22.90194545152551</v>
      </c>
      <c r="I8">
        <f t="shared" si="0"/>
        <v>0</v>
      </c>
      <c r="J8">
        <f t="shared" si="0"/>
        <v>0</v>
      </c>
    </row>
    <row r="9" spans="1:10" ht="15" customHeight="1" x14ac:dyDescent="0.25">
      <c r="A9" s="169" t="s">
        <v>384</v>
      </c>
      <c r="B9" s="169"/>
      <c r="C9" s="90">
        <v>193.68</v>
      </c>
      <c r="D9">
        <f t="shared" si="0"/>
        <v>64.79628034845959</v>
      </c>
      <c r="E9">
        <f t="shared" si="0"/>
        <v>11.472353820512378</v>
      </c>
      <c r="F9">
        <f t="shared" si="0"/>
        <v>144.80324679118195</v>
      </c>
      <c r="G9">
        <f t="shared" si="0"/>
        <v>4.718951184728259</v>
      </c>
      <c r="H9">
        <f t="shared" si="0"/>
        <v>18.284549219058746</v>
      </c>
      <c r="I9">
        <f t="shared" si="0"/>
        <v>0</v>
      </c>
      <c r="J9">
        <f t="shared" si="0"/>
        <v>0</v>
      </c>
    </row>
    <row r="10" spans="1:10" x14ac:dyDescent="0.25">
      <c r="A10" s="169" t="s">
        <v>385</v>
      </c>
      <c r="B10" s="169"/>
      <c r="C10" s="90">
        <v>238.28</v>
      </c>
      <c r="D10">
        <f t="shared" si="0"/>
        <v>79.717356884711634</v>
      </c>
      <c r="E10">
        <f t="shared" si="0"/>
        <v>14.114170117470515</v>
      </c>
      <c r="F10">
        <f t="shared" si="0"/>
        <v>178.14806714892003</v>
      </c>
      <c r="G10">
        <f t="shared" si="0"/>
        <v>5.8056159040533331</v>
      </c>
      <c r="H10">
        <f t="shared" si="0"/>
        <v>22.495055699697012</v>
      </c>
      <c r="I10">
        <f t="shared" si="0"/>
        <v>0</v>
      </c>
      <c r="J10">
        <f t="shared" si="0"/>
        <v>0</v>
      </c>
    </row>
    <row r="11" spans="1:10" x14ac:dyDescent="0.25">
      <c r="A11" s="169" t="s">
        <v>386</v>
      </c>
      <c r="B11" s="169"/>
      <c r="C11" s="90">
        <v>244.01</v>
      </c>
      <c r="D11">
        <f t="shared" si="0"/>
        <v>81.634347211005903</v>
      </c>
      <c r="E11">
        <f t="shared" si="0"/>
        <v>14.453578354725453</v>
      </c>
      <c r="F11">
        <f t="shared" si="0"/>
        <v>182.43205415900613</v>
      </c>
      <c r="G11">
        <f t="shared" si="0"/>
        <v>5.9452255193388197</v>
      </c>
      <c r="H11">
        <f t="shared" si="0"/>
        <v>23.036001935886642</v>
      </c>
      <c r="I11">
        <f t="shared" si="0"/>
        <v>0</v>
      </c>
      <c r="J11">
        <f t="shared" si="0"/>
        <v>0</v>
      </c>
    </row>
    <row r="12" spans="1:10" x14ac:dyDescent="0.25">
      <c r="A12" s="169" t="s">
        <v>387</v>
      </c>
      <c r="B12" s="169"/>
      <c r="C12" s="90">
        <v>175.94</v>
      </c>
      <c r="D12">
        <f t="shared" si="0"/>
        <v>58.861305062515378</v>
      </c>
      <c r="E12">
        <f t="shared" si="0"/>
        <v>10.421550656655038</v>
      </c>
      <c r="F12">
        <f t="shared" si="0"/>
        <v>131.54008281929239</v>
      </c>
      <c r="G12">
        <f t="shared" si="0"/>
        <v>4.286721764978779</v>
      </c>
      <c r="H12">
        <f t="shared" si="0"/>
        <v>16.609787224293658</v>
      </c>
      <c r="I12">
        <f t="shared" si="0"/>
        <v>0</v>
      </c>
      <c r="J12">
        <f t="shared" si="0"/>
        <v>0</v>
      </c>
    </row>
    <row r="13" spans="1:10" ht="15" customHeight="1" x14ac:dyDescent="0.25">
      <c r="A13" s="169" t="s">
        <v>388</v>
      </c>
      <c r="B13" s="169"/>
      <c r="C13" s="90">
        <v>93.93</v>
      </c>
      <c r="D13">
        <f>$C13/$C$19*D$19</f>
        <v>31.424590113232185</v>
      </c>
      <c r="E13">
        <f>$C13/$C$19*E$19</f>
        <v>5.5638072819120596</v>
      </c>
      <c r="F13">
        <f t="shared" si="0"/>
        <v>70.225986013505377</v>
      </c>
      <c r="G13">
        <f t="shared" si="0"/>
        <v>2.2885743741301394</v>
      </c>
      <c r="H13">
        <f t="shared" si="0"/>
        <v>8.8675532225639611</v>
      </c>
      <c r="I13">
        <f t="shared" si="0"/>
        <v>0</v>
      </c>
      <c r="J13">
        <f t="shared" si="0"/>
        <v>0</v>
      </c>
    </row>
    <row r="14" spans="1:10" ht="15" customHeight="1" x14ac:dyDescent="0.25">
      <c r="A14" s="169" t="s">
        <v>389</v>
      </c>
      <c r="B14" s="169"/>
      <c r="C14" s="90">
        <v>235</v>
      </c>
      <c r="D14">
        <f t="shared" ref="D14:E18" si="1">$C14/$C$19*D$19</f>
        <v>78.620022108054528</v>
      </c>
      <c r="E14">
        <f t="shared" si="1"/>
        <v>13.9198840759005</v>
      </c>
      <c r="F14">
        <f t="shared" si="0"/>
        <v>175.69580233337336</v>
      </c>
      <c r="G14">
        <f t="shared" si="0"/>
        <v>5.72569975429131</v>
      </c>
      <c r="H14">
        <f t="shared" si="0"/>
        <v>22.185404102017788</v>
      </c>
      <c r="I14">
        <f t="shared" si="0"/>
        <v>0</v>
      </c>
      <c r="J14">
        <f t="shared" si="0"/>
        <v>0</v>
      </c>
    </row>
    <row r="15" spans="1:10" ht="15" customHeight="1" thickBot="1" x14ac:dyDescent="0.3">
      <c r="A15" s="169" t="s">
        <v>390</v>
      </c>
      <c r="B15" s="169"/>
      <c r="C15" s="90">
        <v>235.4</v>
      </c>
      <c r="D15">
        <f t="shared" si="1"/>
        <v>78.753843422281022</v>
      </c>
      <c r="E15">
        <f t="shared" si="1"/>
        <v>13.943577495604162</v>
      </c>
      <c r="F15">
        <f t="shared" si="0"/>
        <v>175.99485901819617</v>
      </c>
      <c r="G15">
        <f t="shared" si="0"/>
        <v>5.7354456262135081</v>
      </c>
      <c r="H15">
        <f t="shared" si="0"/>
        <v>22.22316649197867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1" ht="15" hidden="1" customHeight="1" x14ac:dyDescent="0.25">
      <c r="A17" s="146"/>
      <c r="B17" s="146"/>
      <c r="C17" s="24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1" ht="15.75" hidden="1" customHeight="1" thickBot="1" x14ac:dyDescent="0.3">
      <c r="A18" s="141"/>
      <c r="B18" s="141"/>
      <c r="C18" s="11"/>
      <c r="D18">
        <f t="shared" si="1"/>
        <v>0</v>
      </c>
      <c r="E18">
        <f t="shared" si="1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</row>
    <row r="19" spans="1:11" x14ac:dyDescent="0.25">
      <c r="A19" s="137" t="s">
        <v>6</v>
      </c>
      <c r="B19" s="137"/>
      <c r="C19" s="12">
        <f>SUM(C6:C18)</f>
        <v>1745.9700000000003</v>
      </c>
      <c r="D19" s="2">
        <v>584.12</v>
      </c>
      <c r="E19" s="2">
        <v>103.42</v>
      </c>
      <c r="F19" s="2">
        <v>1305.3599999999999</v>
      </c>
      <c r="G19" s="2">
        <v>42.54</v>
      </c>
      <c r="H19" s="2">
        <v>164.83</v>
      </c>
      <c r="I19" s="2"/>
      <c r="J19" s="2"/>
    </row>
    <row r="21" spans="1:11" s="47" customFormat="1" ht="27" customHeight="1" x14ac:dyDescent="0.25">
      <c r="D21" s="38" t="str">
        <f t="shared" ref="D21:F21" si="2">D5</f>
        <v xml:space="preserve">Пряжа хб 20/1 30текс №1001 </v>
      </c>
      <c r="E21" s="38" t="str">
        <f t="shared" si="2"/>
        <v xml:space="preserve">150dne суровая </v>
      </c>
      <c r="F21" s="38" t="str">
        <f t="shared" si="2"/>
        <v>900dne  Турция</v>
      </c>
      <c r="G21" s="38" t="str">
        <f>G5</f>
        <v>75/20 эластан</v>
      </c>
      <c r="H21" s="38" t="str">
        <f t="shared" ref="H21:J21" si="3">H5</f>
        <v>167 трилобал</v>
      </c>
      <c r="I21" s="38">
        <f t="shared" si="3"/>
        <v>0</v>
      </c>
      <c r="J21" s="38">
        <f t="shared" si="3"/>
        <v>0</v>
      </c>
      <c r="K21" s="65"/>
    </row>
    <row r="22" spans="1:11" x14ac:dyDescent="0.25">
      <c r="A22" s="141" t="str">
        <f>A6</f>
        <v xml:space="preserve">Производство 2 от 08.01.2026 </v>
      </c>
      <c r="B22" s="141"/>
      <c r="C22" s="22">
        <f>C6</f>
        <v>47.06</v>
      </c>
      <c r="D22">
        <f>ROUND(D6,3)</f>
        <v>15.744</v>
      </c>
      <c r="E22">
        <f t="shared" ref="E22:J34" si="4">ROUND(E6,3)</f>
        <v>2.7879999999999998</v>
      </c>
      <c r="F22">
        <f t="shared" si="4"/>
        <v>35.183999999999997</v>
      </c>
      <c r="G22">
        <f t="shared" si="4"/>
        <v>1.147</v>
      </c>
      <c r="H22">
        <f t="shared" si="4"/>
        <v>4.4429999999999996</v>
      </c>
      <c r="I22">
        <f t="shared" si="4"/>
        <v>0</v>
      </c>
      <c r="J22">
        <f t="shared" si="4"/>
        <v>0</v>
      </c>
    </row>
    <row r="23" spans="1:11" x14ac:dyDescent="0.25">
      <c r="A23" s="141" t="str">
        <f t="shared" ref="A23:A34" si="5">A7</f>
        <v xml:space="preserve">Производство 4 от 14.01.2026 </v>
      </c>
      <c r="B23" s="141"/>
      <c r="C23" s="22">
        <f t="shared" ref="C23:C34" si="6">C7</f>
        <v>40.08</v>
      </c>
      <c r="D23">
        <f t="shared" ref="D23:G34" si="7">ROUND(D7,3)</f>
        <v>13.409000000000001</v>
      </c>
      <c r="E23">
        <f t="shared" si="7"/>
        <v>2.3740000000000001</v>
      </c>
      <c r="F23">
        <f t="shared" si="7"/>
        <v>29.965</v>
      </c>
      <c r="G23">
        <f t="shared" si="7"/>
        <v>0.97699999999999998</v>
      </c>
      <c r="H23">
        <f t="shared" si="4"/>
        <v>3.7839999999999998</v>
      </c>
      <c r="I23">
        <f t="shared" si="4"/>
        <v>0</v>
      </c>
      <c r="J23">
        <f t="shared" si="4"/>
        <v>0</v>
      </c>
    </row>
    <row r="24" spans="1:11" x14ac:dyDescent="0.25">
      <c r="A24" s="141" t="str">
        <f t="shared" si="5"/>
        <v xml:space="preserve">Производство 22 от 30.01.2026 </v>
      </c>
      <c r="B24" s="141"/>
      <c r="C24" s="22">
        <f t="shared" si="6"/>
        <v>242.59</v>
      </c>
      <c r="D24">
        <f t="shared" si="7"/>
        <v>81.159000000000006</v>
      </c>
      <c r="E24">
        <f t="shared" si="7"/>
        <v>14.369</v>
      </c>
      <c r="F24">
        <f t="shared" si="7"/>
        <v>181.37</v>
      </c>
      <c r="G24">
        <f t="shared" si="7"/>
        <v>5.9109999999999996</v>
      </c>
      <c r="H24">
        <f t="shared" si="4"/>
        <v>22.902000000000001</v>
      </c>
      <c r="I24">
        <f t="shared" si="4"/>
        <v>0</v>
      </c>
      <c r="J24">
        <f t="shared" si="4"/>
        <v>0</v>
      </c>
    </row>
    <row r="25" spans="1:11" x14ac:dyDescent="0.25">
      <c r="A25" s="141" t="str">
        <f t="shared" si="5"/>
        <v xml:space="preserve">Производство 30 от 02.02.2026 </v>
      </c>
      <c r="B25" s="141"/>
      <c r="C25" s="22">
        <f t="shared" si="6"/>
        <v>193.68</v>
      </c>
      <c r="D25">
        <f t="shared" si="7"/>
        <v>64.796000000000006</v>
      </c>
      <c r="E25">
        <f t="shared" si="7"/>
        <v>11.472</v>
      </c>
      <c r="F25">
        <f t="shared" si="7"/>
        <v>144.803</v>
      </c>
      <c r="G25">
        <f t="shared" si="7"/>
        <v>4.7190000000000003</v>
      </c>
      <c r="H25">
        <f t="shared" si="4"/>
        <v>18.285</v>
      </c>
      <c r="I25">
        <f t="shared" si="4"/>
        <v>0</v>
      </c>
      <c r="J25">
        <f t="shared" si="4"/>
        <v>0</v>
      </c>
    </row>
    <row r="26" spans="1:11" x14ac:dyDescent="0.25">
      <c r="A26" s="141" t="str">
        <f t="shared" si="5"/>
        <v xml:space="preserve">Производство 34 от 03.02.2026 </v>
      </c>
      <c r="B26" s="141"/>
      <c r="C26" s="22">
        <f t="shared" si="6"/>
        <v>238.28</v>
      </c>
      <c r="D26">
        <f t="shared" si="7"/>
        <v>79.716999999999999</v>
      </c>
      <c r="E26">
        <f t="shared" si="7"/>
        <v>14.114000000000001</v>
      </c>
      <c r="F26">
        <f t="shared" si="7"/>
        <v>178.148</v>
      </c>
      <c r="G26">
        <f t="shared" si="7"/>
        <v>5.806</v>
      </c>
      <c r="H26">
        <f t="shared" si="4"/>
        <v>22.495000000000001</v>
      </c>
      <c r="I26">
        <f t="shared" si="4"/>
        <v>0</v>
      </c>
      <c r="J26">
        <f t="shared" si="4"/>
        <v>0</v>
      </c>
    </row>
    <row r="27" spans="1:11" x14ac:dyDescent="0.25">
      <c r="A27" s="141" t="str">
        <f t="shared" si="5"/>
        <v xml:space="preserve">Производство 40 от 04.02.2026 </v>
      </c>
      <c r="B27" s="141"/>
      <c r="C27" s="22">
        <f t="shared" si="6"/>
        <v>244.01</v>
      </c>
      <c r="D27">
        <f t="shared" si="7"/>
        <v>81.634</v>
      </c>
      <c r="E27">
        <f t="shared" si="7"/>
        <v>14.454000000000001</v>
      </c>
      <c r="F27">
        <f t="shared" si="7"/>
        <v>182.43199999999999</v>
      </c>
      <c r="G27">
        <f t="shared" si="7"/>
        <v>5.9450000000000003</v>
      </c>
      <c r="H27">
        <f t="shared" si="4"/>
        <v>23.036000000000001</v>
      </c>
      <c r="I27">
        <f t="shared" si="4"/>
        <v>0</v>
      </c>
      <c r="J27">
        <f t="shared" si="4"/>
        <v>0</v>
      </c>
    </row>
    <row r="28" spans="1:11" x14ac:dyDescent="0.25">
      <c r="A28" s="141" t="str">
        <f t="shared" si="5"/>
        <v xml:space="preserve">Производство 46 от 05.02.2026 </v>
      </c>
      <c r="B28" s="141"/>
      <c r="C28" s="22">
        <f t="shared" si="6"/>
        <v>175.94</v>
      </c>
      <c r="D28">
        <f t="shared" si="7"/>
        <v>58.860999999999997</v>
      </c>
      <c r="E28">
        <f t="shared" si="7"/>
        <v>10.422000000000001</v>
      </c>
      <c r="F28">
        <f t="shared" si="7"/>
        <v>131.54</v>
      </c>
      <c r="G28">
        <f t="shared" si="7"/>
        <v>4.2869999999999999</v>
      </c>
      <c r="H28">
        <f t="shared" si="4"/>
        <v>16.61</v>
      </c>
      <c r="I28">
        <f t="shared" si="4"/>
        <v>0</v>
      </c>
      <c r="J28">
        <f t="shared" si="4"/>
        <v>0</v>
      </c>
    </row>
    <row r="29" spans="1:11" x14ac:dyDescent="0.25">
      <c r="A29" s="141" t="str">
        <f t="shared" si="5"/>
        <v xml:space="preserve">Производство 52 от 06.02.2026 </v>
      </c>
      <c r="B29" s="141"/>
      <c r="C29" s="22">
        <f t="shared" si="6"/>
        <v>93.93</v>
      </c>
      <c r="D29">
        <f t="shared" si="7"/>
        <v>31.425000000000001</v>
      </c>
      <c r="E29">
        <f t="shared" si="7"/>
        <v>5.5640000000000001</v>
      </c>
      <c r="F29">
        <f t="shared" si="7"/>
        <v>70.225999999999999</v>
      </c>
      <c r="G29">
        <f t="shared" si="7"/>
        <v>2.2890000000000001</v>
      </c>
      <c r="H29">
        <f t="shared" si="4"/>
        <v>8.8680000000000003</v>
      </c>
      <c r="I29">
        <f t="shared" si="4"/>
        <v>0</v>
      </c>
      <c r="J29">
        <f t="shared" si="4"/>
        <v>0</v>
      </c>
    </row>
    <row r="30" spans="1:11" x14ac:dyDescent="0.25">
      <c r="A30" s="141" t="str">
        <f t="shared" si="5"/>
        <v xml:space="preserve">Производство 72 от 09.02.2026 </v>
      </c>
      <c r="B30" s="141"/>
      <c r="C30" s="22">
        <f t="shared" si="6"/>
        <v>235</v>
      </c>
      <c r="D30">
        <f t="shared" si="7"/>
        <v>78.62</v>
      </c>
      <c r="E30">
        <f t="shared" si="7"/>
        <v>13.92</v>
      </c>
      <c r="F30">
        <f t="shared" si="7"/>
        <v>175.696</v>
      </c>
      <c r="G30">
        <f t="shared" si="7"/>
        <v>5.726</v>
      </c>
      <c r="H30">
        <f t="shared" si="4"/>
        <v>22.184999999999999</v>
      </c>
      <c r="I30">
        <f t="shared" si="4"/>
        <v>0</v>
      </c>
      <c r="J30">
        <f t="shared" si="4"/>
        <v>0</v>
      </c>
    </row>
    <row r="31" spans="1:11" ht="15.75" thickBot="1" x14ac:dyDescent="0.3">
      <c r="A31" s="141" t="str">
        <f t="shared" si="5"/>
        <v xml:space="preserve">Производство 92 от 10.02.2026 </v>
      </c>
      <c r="B31" s="141"/>
      <c r="C31" s="22">
        <f t="shared" si="6"/>
        <v>235.4</v>
      </c>
      <c r="D31">
        <f t="shared" si="7"/>
        <v>78.754000000000005</v>
      </c>
      <c r="E31">
        <f t="shared" si="7"/>
        <v>13.944000000000001</v>
      </c>
      <c r="F31">
        <f t="shared" si="7"/>
        <v>175.995</v>
      </c>
      <c r="G31">
        <f t="shared" si="7"/>
        <v>5.7350000000000003</v>
      </c>
      <c r="H31">
        <f t="shared" si="4"/>
        <v>22.222999999999999</v>
      </c>
      <c r="I31">
        <f t="shared" si="4"/>
        <v>0</v>
      </c>
      <c r="J31">
        <f t="shared" si="4"/>
        <v>0</v>
      </c>
    </row>
    <row r="32" spans="1:11" hidden="1" x14ac:dyDescent="0.25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idden="1" x14ac:dyDescent="0.25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.75" hidden="1" thickBot="1" x14ac:dyDescent="0.3">
      <c r="A34" s="141">
        <f t="shared" si="5"/>
        <v>0</v>
      </c>
      <c r="B34" s="141"/>
      <c r="C34" s="22">
        <f t="shared" si="6"/>
        <v>0</v>
      </c>
      <c r="D34">
        <f t="shared" si="7"/>
        <v>0</v>
      </c>
      <c r="E34">
        <f t="shared" si="7"/>
        <v>0</v>
      </c>
      <c r="F34">
        <f t="shared" si="7"/>
        <v>0</v>
      </c>
      <c r="G34">
        <f t="shared" si="7"/>
        <v>0</v>
      </c>
      <c r="H34">
        <f t="shared" si="4"/>
        <v>0</v>
      </c>
      <c r="I34">
        <f t="shared" si="4"/>
        <v>0</v>
      </c>
      <c r="J34">
        <f t="shared" si="4"/>
        <v>0</v>
      </c>
    </row>
    <row r="35" spans="1:10" ht="15" customHeight="1" x14ac:dyDescent="0.25">
      <c r="A35" s="137" t="s">
        <v>6</v>
      </c>
      <c r="B35" s="137"/>
      <c r="C35" s="12">
        <f>SUM(C22:C34)</f>
        <v>1745.9700000000003</v>
      </c>
      <c r="D35" s="2">
        <f>SUM(D22:D34)</f>
        <v>584.11900000000003</v>
      </c>
      <c r="E35" s="80">
        <f>SUM(E22:E34)</f>
        <v>103.42100000000002</v>
      </c>
      <c r="F35" s="2">
        <f t="shared" ref="F35:J35" si="8">SUM(F22:F34)</f>
        <v>1305.3589999999999</v>
      </c>
      <c r="G35" s="2">
        <f t="shared" si="8"/>
        <v>42.542000000000002</v>
      </c>
      <c r="H35" s="2">
        <f t="shared" si="8"/>
        <v>164.83100000000002</v>
      </c>
      <c r="I35" s="68">
        <f>SUM(I22:I34)</f>
        <v>0</v>
      </c>
      <c r="J35" s="2">
        <f t="shared" si="8"/>
        <v>0</v>
      </c>
    </row>
    <row r="38" spans="1:10" x14ac:dyDescent="0.25">
      <c r="D38" t="s">
        <v>107</v>
      </c>
      <c r="E38" t="s">
        <v>108</v>
      </c>
      <c r="F38" t="s">
        <v>109</v>
      </c>
    </row>
    <row r="39" spans="1:10" x14ac:dyDescent="0.25">
      <c r="C39" t="str">
        <f>D5</f>
        <v xml:space="preserve">Пряжа хб 20/1 30текс №1001 </v>
      </c>
      <c r="D39" s="84">
        <f>D19/C19</f>
        <v>0.33455328556618952</v>
      </c>
      <c r="E39" s="84">
        <v>0.38</v>
      </c>
      <c r="F39" s="29">
        <f>D39/E39-1</f>
        <v>-0.11959661693108026</v>
      </c>
      <c r="G39" s="84"/>
      <c r="H39" s="84"/>
      <c r="I39" s="84"/>
      <c r="J39" s="84"/>
    </row>
    <row r="40" spans="1:10" x14ac:dyDescent="0.25">
      <c r="C40" t="str">
        <f>E5</f>
        <v xml:space="preserve">150dne суровая </v>
      </c>
      <c r="D40" s="79">
        <f>(E19+I19)/C19</f>
        <v>5.9233549259151065E-2</v>
      </c>
      <c r="E40" s="84">
        <v>7.0000000000000007E-2</v>
      </c>
      <c r="F40" s="29">
        <f t="shared" ref="F40:F43" si="9">D40/E40-1</f>
        <v>-0.15380643915498482</v>
      </c>
    </row>
    <row r="41" spans="1:10" x14ac:dyDescent="0.25">
      <c r="C41" t="str">
        <f>F5</f>
        <v>900dne  Турция</v>
      </c>
      <c r="D41" s="84">
        <f>F19/C19</f>
        <v>0.74764171205690799</v>
      </c>
      <c r="E41" s="84">
        <v>0.56999999999999995</v>
      </c>
      <c r="F41" s="29">
        <f t="shared" si="9"/>
        <v>0.31165212641562823</v>
      </c>
      <c r="G41" s="84"/>
      <c r="H41" s="84"/>
      <c r="I41" s="84"/>
      <c r="J41" s="84"/>
    </row>
    <row r="42" spans="1:10" x14ac:dyDescent="0.25">
      <c r="C42" t="str">
        <f>G5</f>
        <v>75/20 эластан</v>
      </c>
      <c r="D42" s="84">
        <f>G19/C19</f>
        <v>2.4364679805494935E-2</v>
      </c>
      <c r="E42" s="84">
        <v>3.6999999999999998E-2</v>
      </c>
      <c r="F42" s="29">
        <f t="shared" si="9"/>
        <v>-0.34149514039202877</v>
      </c>
    </row>
    <row r="43" spans="1:10" x14ac:dyDescent="0.25">
      <c r="C43" t="str">
        <f>H5</f>
        <v>167 трилобал</v>
      </c>
      <c r="D43" s="84">
        <f>H19/C19</f>
        <v>9.4405974902203357E-2</v>
      </c>
      <c r="E43" s="84">
        <v>0.10100000000000001</v>
      </c>
      <c r="F43" s="50">
        <f t="shared" si="9"/>
        <v>-6.5287377205907382E-2</v>
      </c>
    </row>
    <row r="44" spans="1:10" hidden="1" x14ac:dyDescent="0.25">
      <c r="C44">
        <f>I5</f>
        <v>0</v>
      </c>
      <c r="D44">
        <f>I19/C19</f>
        <v>0</v>
      </c>
    </row>
    <row r="46" spans="1:10" x14ac:dyDescent="0.25">
      <c r="A46" s="138" t="s">
        <v>256</v>
      </c>
      <c r="B46" s="138"/>
      <c r="C46" s="138"/>
      <c r="D46" s="138"/>
      <c r="E46" s="138"/>
      <c r="F46" s="138"/>
      <c r="G46" s="138"/>
    </row>
  </sheetData>
  <mergeCells count="30">
    <mergeCell ref="A10:B10"/>
    <mergeCell ref="A11:B11"/>
    <mergeCell ref="A12:B12"/>
    <mergeCell ref="A13:B13"/>
    <mergeCell ref="A14:B14"/>
    <mergeCell ref="A15:B15"/>
    <mergeCell ref="A31:B31"/>
    <mergeCell ref="A32:B32"/>
    <mergeCell ref="A33:B33"/>
    <mergeCell ref="A34:B34"/>
    <mergeCell ref="A17:B17"/>
    <mergeCell ref="A18:B18"/>
    <mergeCell ref="A19:B19"/>
    <mergeCell ref="A22:B22"/>
    <mergeCell ref="A23:B23"/>
    <mergeCell ref="A24:B24"/>
    <mergeCell ref="A16:B16"/>
    <mergeCell ref="A35:B35"/>
    <mergeCell ref="A46:G46"/>
    <mergeCell ref="A25:B25"/>
    <mergeCell ref="A26:B26"/>
    <mergeCell ref="A27:B27"/>
    <mergeCell ref="A28:B28"/>
    <mergeCell ref="A29:B29"/>
    <mergeCell ref="A30:B30"/>
    <mergeCell ref="A1:E1"/>
    <mergeCell ref="A6:B6"/>
    <mergeCell ref="A7:B7"/>
    <mergeCell ref="A8:B8"/>
    <mergeCell ref="A9:B9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workbookViewId="0">
      <selection activeCell="F49" sqref="F49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271</v>
      </c>
      <c r="B1" s="138"/>
      <c r="C1" s="138"/>
      <c r="D1" s="138"/>
      <c r="E1" s="138"/>
    </row>
    <row r="2" spans="1:10" x14ac:dyDescent="0.25">
      <c r="A2" s="37"/>
      <c r="B2" s="64"/>
      <c r="C2" s="64"/>
      <c r="D2" s="64"/>
      <c r="E2" s="64"/>
    </row>
    <row r="3" spans="1:10" x14ac:dyDescent="0.25">
      <c r="A3" s="37" t="s">
        <v>272</v>
      </c>
      <c r="D3" t="s">
        <v>191</v>
      </c>
    </row>
    <row r="4" spans="1:10" ht="45" x14ac:dyDescent="0.25">
      <c r="D4" s="38" t="s">
        <v>215</v>
      </c>
      <c r="E4" s="38" t="s">
        <v>7</v>
      </c>
      <c r="F4" s="38" t="s">
        <v>273</v>
      </c>
      <c r="G4" s="38" t="s">
        <v>193</v>
      </c>
      <c r="H4" s="4"/>
      <c r="I4" s="4"/>
      <c r="J4" s="4"/>
    </row>
    <row r="5" spans="1:10" ht="15" customHeight="1" x14ac:dyDescent="0.25">
      <c r="A5" s="171" t="s">
        <v>274</v>
      </c>
      <c r="B5" s="171"/>
      <c r="C5" s="71">
        <v>256.67</v>
      </c>
      <c r="D5">
        <f t="shared" ref="D5:J17" si="0">$C5/$C$18*D$18</f>
        <v>23.565682693459767</v>
      </c>
      <c r="E5">
        <f t="shared" si="0"/>
        <v>59.581988942710922</v>
      </c>
      <c r="F5">
        <f t="shared" si="0"/>
        <v>45.382830392140079</v>
      </c>
      <c r="G5">
        <f t="shared" si="0"/>
        <v>39.227811478356131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71" t="s">
        <v>275</v>
      </c>
      <c r="B6" s="171"/>
      <c r="C6" s="71">
        <v>261.18</v>
      </c>
      <c r="D6">
        <f t="shared" si="0"/>
        <v>23.97976002601715</v>
      </c>
      <c r="E6">
        <f t="shared" si="0"/>
        <v>60.628916009106</v>
      </c>
      <c r="F6">
        <f t="shared" si="0"/>
        <v>46.180261198500588</v>
      </c>
      <c r="G6">
        <f t="shared" si="0"/>
        <v>39.917091214076649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thickBot="1" x14ac:dyDescent="0.3">
      <c r="A7" s="171" t="s">
        <v>276</v>
      </c>
      <c r="B7" s="171"/>
      <c r="C7" s="71">
        <v>66.38</v>
      </c>
      <c r="D7">
        <f t="shared" si="0"/>
        <v>6.0945572805230812</v>
      </c>
      <c r="E7">
        <f t="shared" si="0"/>
        <v>15.409095048183078</v>
      </c>
      <c r="F7">
        <f t="shared" si="0"/>
        <v>11.736908409359327</v>
      </c>
      <c r="G7">
        <f t="shared" si="0"/>
        <v>10.145097307567225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hidden="1" customHeight="1" x14ac:dyDescent="0.3">
      <c r="A8" s="166"/>
      <c r="B8" s="166"/>
      <c r="C8" s="70"/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idden="1" x14ac:dyDescent="0.25">
      <c r="A9" s="166"/>
      <c r="B9" s="166"/>
      <c r="C9" s="70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idden="1" x14ac:dyDescent="0.25">
      <c r="A10" s="166"/>
      <c r="B10" s="166"/>
      <c r="C10" s="70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hidden="1" thickBot="1" x14ac:dyDescent="0.3">
      <c r="A11" s="166"/>
      <c r="B11" s="166"/>
      <c r="C11" s="70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584.23</v>
      </c>
      <c r="D18" s="2">
        <v>53.64</v>
      </c>
      <c r="E18" s="2">
        <v>135.62</v>
      </c>
      <c r="F18" s="2">
        <v>103.3</v>
      </c>
      <c r="G18" s="2">
        <v>89.29</v>
      </c>
      <c r="H18" s="2"/>
      <c r="I18" s="2"/>
      <c r="J18" s="2"/>
    </row>
    <row r="20" spans="1:10" s="47" customFormat="1" ht="27" customHeight="1" x14ac:dyDescent="0.25">
      <c r="D20" s="38" t="str">
        <f t="shared" ref="D20:F20" si="2">D4</f>
        <v xml:space="preserve">150dne суровая </v>
      </c>
      <c r="E20" s="38" t="str">
        <f t="shared" si="2"/>
        <v>600dne</v>
      </c>
      <c r="F20" s="38" t="str">
        <f t="shared" si="2"/>
        <v>смешанная (хл+виск+лен) 20текс</v>
      </c>
      <c r="G20" s="38" t="str">
        <f>G4</f>
        <v>трилобал 167</v>
      </c>
      <c r="H20" s="48">
        <f t="shared" ref="H20:J20" si="3">H4</f>
        <v>0</v>
      </c>
      <c r="I20" s="48">
        <f t="shared" si="3"/>
        <v>0</v>
      </c>
      <c r="J20" s="48">
        <f t="shared" si="3"/>
        <v>0</v>
      </c>
    </row>
    <row r="21" spans="1:10" x14ac:dyDescent="0.25">
      <c r="A21" s="141" t="str">
        <f>A5</f>
        <v xml:space="preserve">Производство 155 от 15.01.2026 </v>
      </c>
      <c r="B21" s="141"/>
      <c r="C21" s="22">
        <f>C5</f>
        <v>256.67</v>
      </c>
      <c r="D21">
        <f>ROUND(D5,3)</f>
        <v>23.565999999999999</v>
      </c>
      <c r="E21">
        <f t="shared" ref="E21:J33" si="4">ROUND(E5,3)</f>
        <v>59.582000000000001</v>
      </c>
      <c r="F21">
        <f t="shared" si="4"/>
        <v>45.383000000000003</v>
      </c>
      <c r="G21">
        <f t="shared" si="4"/>
        <v>39.228000000000002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ref="A22:A33" si="5">A6</f>
        <v xml:space="preserve">Производство 204 от 16.01.2026 </v>
      </c>
      <c r="B22" s="141"/>
      <c r="C22" s="22">
        <f t="shared" ref="C22:C33" si="6">C6</f>
        <v>261.18</v>
      </c>
      <c r="D22">
        <f t="shared" ref="D22:G33" si="7">ROUND(D6,3)</f>
        <v>23.98</v>
      </c>
      <c r="E22">
        <f t="shared" si="7"/>
        <v>60.628999999999998</v>
      </c>
      <c r="F22">
        <f t="shared" si="7"/>
        <v>46.18</v>
      </c>
      <c r="G22">
        <f t="shared" si="7"/>
        <v>39.917000000000002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ht="15.75" thickBot="1" x14ac:dyDescent="0.3">
      <c r="A23" s="141" t="str">
        <f t="shared" si="5"/>
        <v xml:space="preserve">Производство 265 от 19.01.2026 </v>
      </c>
      <c r="B23" s="141"/>
      <c r="C23" s="22">
        <f t="shared" si="6"/>
        <v>66.38</v>
      </c>
      <c r="D23">
        <f t="shared" si="7"/>
        <v>6.0949999999999998</v>
      </c>
      <c r="E23">
        <f t="shared" si="7"/>
        <v>15.409000000000001</v>
      </c>
      <c r="F23">
        <f t="shared" si="7"/>
        <v>11.737</v>
      </c>
      <c r="G23">
        <f t="shared" si="7"/>
        <v>10.145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hidden="1" x14ac:dyDescent="0.25">
      <c r="A24" s="141">
        <f t="shared" si="5"/>
        <v>0</v>
      </c>
      <c r="B24" s="141"/>
      <c r="C24" s="22">
        <f t="shared" si="6"/>
        <v>0</v>
      </c>
      <c r="D24">
        <f t="shared" si="7"/>
        <v>0</v>
      </c>
      <c r="E24">
        <f t="shared" si="7"/>
        <v>0</v>
      </c>
      <c r="F24">
        <f t="shared" si="7"/>
        <v>0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hidden="1" x14ac:dyDescent="0.25">
      <c r="A25" s="141">
        <f t="shared" si="5"/>
        <v>0</v>
      </c>
      <c r="B25" s="141"/>
      <c r="C25" s="22">
        <f t="shared" si="6"/>
        <v>0</v>
      </c>
      <c r="D25">
        <f t="shared" si="7"/>
        <v>0</v>
      </c>
      <c r="E25">
        <f t="shared" si="7"/>
        <v>0</v>
      </c>
      <c r="F25">
        <f t="shared" si="7"/>
        <v>0</v>
      </c>
      <c r="G25">
        <f t="shared" si="7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t="15.75" hidden="1" thickBot="1" x14ac:dyDescent="0.3">
      <c r="A26" s="141">
        <f t="shared" si="5"/>
        <v>0</v>
      </c>
      <c r="B26" s="141"/>
      <c r="C26" s="22">
        <f t="shared" si="6"/>
        <v>0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t="15.75" hidden="1" thickBot="1" x14ac:dyDescent="0.3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t="15.75" hidden="1" thickBot="1" x14ac:dyDescent="0.3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t="15.75" hidden="1" thickBot="1" x14ac:dyDescent="0.3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t="15.75" hidden="1" thickBot="1" x14ac:dyDescent="0.3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t="15.75" hidden="1" thickBot="1" x14ac:dyDescent="0.3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t="15.75" hidden="1" thickBot="1" x14ac:dyDescent="0.3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584.23</v>
      </c>
      <c r="D34" s="2">
        <f>SUM(D21:D33)</f>
        <v>53.640999999999998</v>
      </c>
      <c r="E34" s="2">
        <f>SUM(E21:E33)</f>
        <v>135.62</v>
      </c>
      <c r="F34" s="2">
        <f t="shared" ref="F34:J34" si="8">SUM(F21:F33)</f>
        <v>103.3</v>
      </c>
      <c r="G34" s="2">
        <f t="shared" si="8"/>
        <v>89.29</v>
      </c>
      <c r="H34" s="2">
        <f t="shared" si="8"/>
        <v>0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 xml:space="preserve">150dne суровая </v>
      </c>
      <c r="D38" s="64">
        <f>D18/C18</f>
        <v>9.1813155777690295E-2</v>
      </c>
      <c r="E38" s="64">
        <v>0.09</v>
      </c>
      <c r="F38" s="29">
        <f>D38/E38-1</f>
        <v>2.0146175307669933E-2</v>
      </c>
      <c r="G38" s="64"/>
      <c r="H38" s="64"/>
      <c r="I38" s="64"/>
      <c r="J38" s="64"/>
    </row>
    <row r="39" spans="1:10" x14ac:dyDescent="0.25">
      <c r="C39" t="str">
        <f>E4</f>
        <v>600dne</v>
      </c>
      <c r="D39" s="64">
        <f>E18/C18</f>
        <v>0.23213460452219159</v>
      </c>
      <c r="E39" s="64">
        <v>0.2</v>
      </c>
      <c r="F39" s="29">
        <f t="shared" ref="F39:F41" si="9">D39/E39-1</f>
        <v>0.16067302261095784</v>
      </c>
    </row>
    <row r="40" spans="1:10" x14ac:dyDescent="0.25">
      <c r="C40" t="str">
        <f>F4</f>
        <v>смешанная (хл+виск+лен) 20текс</v>
      </c>
      <c r="D40" s="64">
        <f>F18/C18</f>
        <v>0.17681392602228574</v>
      </c>
      <c r="E40" s="64">
        <v>0.21</v>
      </c>
      <c r="F40" s="29">
        <f t="shared" si="9"/>
        <v>-0.15802892370340116</v>
      </c>
      <c r="G40" s="64"/>
      <c r="H40" s="64"/>
      <c r="I40" s="64"/>
      <c r="J40" s="64"/>
    </row>
    <row r="41" spans="1:10" x14ac:dyDescent="0.25">
      <c r="C41" t="str">
        <f>G4</f>
        <v>трилобал 167</v>
      </c>
      <c r="D41" s="64">
        <f>G18/C18</f>
        <v>0.15283364428392929</v>
      </c>
      <c r="E41" s="64">
        <v>0.114</v>
      </c>
      <c r="F41" s="29">
        <f t="shared" si="9"/>
        <v>0.34064600249060772</v>
      </c>
    </row>
    <row r="42" spans="1:10" x14ac:dyDescent="0.25">
      <c r="D42" s="64"/>
      <c r="E42" s="64"/>
      <c r="F42" s="50"/>
    </row>
    <row r="45" spans="1:10" x14ac:dyDescent="0.25">
      <c r="A45" s="138"/>
      <c r="B45" s="138"/>
      <c r="C45" s="138"/>
      <c r="D45" s="138"/>
      <c r="E45" s="138"/>
      <c r="F45" s="138"/>
      <c r="G45" s="138"/>
    </row>
  </sheetData>
  <mergeCells count="30">
    <mergeCell ref="A45:G4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1:B21"/>
    <mergeCell ref="A22:B22"/>
    <mergeCell ref="A1:E1"/>
    <mergeCell ref="A8:B8"/>
    <mergeCell ref="A9:B9"/>
    <mergeCell ref="A5:B5"/>
    <mergeCell ref="A6:B6"/>
    <mergeCell ref="A7:B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workbookViewId="0">
      <selection activeCell="D22" sqref="D22:D23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304</v>
      </c>
      <c r="B1" s="138"/>
      <c r="C1" s="138"/>
      <c r="D1" s="138"/>
      <c r="E1" s="138"/>
    </row>
    <row r="2" spans="1:10" x14ac:dyDescent="0.25">
      <c r="A2" s="37"/>
      <c r="B2" s="69"/>
      <c r="C2" s="69"/>
      <c r="D2" s="69"/>
      <c r="E2" s="69"/>
    </row>
    <row r="3" spans="1:10" x14ac:dyDescent="0.25">
      <c r="A3" s="37" t="s">
        <v>305</v>
      </c>
      <c r="B3" s="69"/>
      <c r="C3" s="69"/>
      <c r="D3" s="69" t="s">
        <v>231</v>
      </c>
      <c r="E3" s="69" t="s">
        <v>313</v>
      </c>
    </row>
    <row r="4" spans="1:10" x14ac:dyDescent="0.25">
      <c r="A4" s="37" t="s">
        <v>306</v>
      </c>
      <c r="D4" s="69" t="s">
        <v>307</v>
      </c>
      <c r="E4" s="69" t="s">
        <v>314</v>
      </c>
    </row>
    <row r="5" spans="1:10" ht="45" x14ac:dyDescent="0.25">
      <c r="D5" s="38" t="s">
        <v>215</v>
      </c>
      <c r="E5" s="38" t="s">
        <v>7</v>
      </c>
      <c r="F5" s="38" t="s">
        <v>308</v>
      </c>
      <c r="G5" s="38" t="s">
        <v>59</v>
      </c>
      <c r="H5" s="4"/>
      <c r="I5" s="4"/>
      <c r="J5" s="4"/>
    </row>
    <row r="6" spans="1:10" ht="15" customHeight="1" x14ac:dyDescent="0.25">
      <c r="A6" s="172" t="s">
        <v>309</v>
      </c>
      <c r="B6" s="172"/>
      <c r="C6" s="74">
        <v>249.92</v>
      </c>
      <c r="D6">
        <f t="shared" ref="D6:J18" si="0">$C6/$C$19*D$19</f>
        <v>24.979540434789179</v>
      </c>
      <c r="E6">
        <f t="shared" si="0"/>
        <v>52.383032646956636</v>
      </c>
      <c r="F6">
        <f t="shared" si="0"/>
        <v>16.121922257640538</v>
      </c>
      <c r="G6">
        <f t="shared" si="0"/>
        <v>44.692082848639586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72" t="s">
        <v>310</v>
      </c>
      <c r="B7" s="172"/>
      <c r="C7" s="74">
        <v>124.14</v>
      </c>
      <c r="D7">
        <f t="shared" si="0"/>
        <v>12.407811097850226</v>
      </c>
      <c r="E7">
        <f t="shared" si="0"/>
        <v>26.019644977565608</v>
      </c>
      <c r="F7">
        <f t="shared" si="0"/>
        <v>8.0080642968289713</v>
      </c>
      <c r="G7">
        <f t="shared" si="0"/>
        <v>22.199404468750476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x14ac:dyDescent="0.25">
      <c r="A8" s="173"/>
      <c r="B8" s="173"/>
      <c r="C8" s="71"/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" customHeight="1" x14ac:dyDescent="0.25">
      <c r="A9" s="172" t="s">
        <v>311</v>
      </c>
      <c r="B9" s="172"/>
      <c r="C9" s="74">
        <v>167.32</v>
      </c>
      <c r="D9">
        <f t="shared" si="0"/>
        <v>16.723658392881422</v>
      </c>
      <c r="E9">
        <f t="shared" si="0"/>
        <v>35.070138534286102</v>
      </c>
      <c r="F9">
        <f t="shared" si="0"/>
        <v>10.793534059492696</v>
      </c>
      <c r="G9">
        <f t="shared" si="0"/>
        <v>29.921091958364176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t="15.75" thickBot="1" x14ac:dyDescent="0.3">
      <c r="A10" s="172" t="s">
        <v>312</v>
      </c>
      <c r="B10" s="172"/>
      <c r="C10" s="74">
        <v>120.55</v>
      </c>
      <c r="D10">
        <f t="shared" si="0"/>
        <v>12.048990074479175</v>
      </c>
      <c r="E10">
        <f t="shared" si="0"/>
        <v>25.26718384119167</v>
      </c>
      <c r="F10">
        <f t="shared" si="0"/>
        <v>7.7764793860378001</v>
      </c>
      <c r="G10">
        <f t="shared" si="0"/>
        <v>21.55742072424577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hidden="1" thickBot="1" x14ac:dyDescent="0.3">
      <c r="A11" s="166"/>
      <c r="B11" s="166"/>
      <c r="C11" s="70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idden="1" x14ac:dyDescent="0.25">
      <c r="A12" s="166"/>
      <c r="B12" s="166"/>
      <c r="C12" s="70"/>
      <c r="D12">
        <f t="shared" si="0"/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8"/>
      <c r="B13" s="148"/>
      <c r="C13" s="26"/>
      <c r="D13">
        <f>$C13/$C$19*D$19</f>
        <v>0</v>
      </c>
      <c r="E13">
        <f>$C13/$C$19*E$19</f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ref="D14:E18" si="1">$C14/$C$19*D$19</f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" hidden="1" customHeight="1" x14ac:dyDescent="0.25">
      <c r="A17" s="146"/>
      <c r="B17" s="146"/>
      <c r="C17" s="24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ht="15.75" hidden="1" customHeight="1" thickBot="1" x14ac:dyDescent="0.3">
      <c r="A18" s="141"/>
      <c r="B18" s="141"/>
      <c r="C18" s="11"/>
      <c r="D18">
        <f t="shared" si="1"/>
        <v>0</v>
      </c>
      <c r="E18">
        <f t="shared" si="1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</row>
    <row r="19" spans="1:10" x14ac:dyDescent="0.25">
      <c r="A19" s="137" t="s">
        <v>6</v>
      </c>
      <c r="B19" s="137"/>
      <c r="C19" s="12">
        <f>SUM(C6:C18)</f>
        <v>661.93</v>
      </c>
      <c r="D19" s="2">
        <v>66.16</v>
      </c>
      <c r="E19" s="2">
        <v>138.74</v>
      </c>
      <c r="F19" s="2">
        <v>42.7</v>
      </c>
      <c r="G19" s="2">
        <v>118.37</v>
      </c>
      <c r="H19" s="2"/>
      <c r="I19" s="2"/>
      <c r="J19" s="2"/>
    </row>
    <row r="21" spans="1:10" s="47" customFormat="1" ht="27" customHeight="1" x14ac:dyDescent="0.25">
      <c r="D21" s="38" t="str">
        <f t="shared" ref="D21:F21" si="2">D5</f>
        <v xml:space="preserve">150dne суровая </v>
      </c>
      <c r="E21" s="38" t="str">
        <f t="shared" si="2"/>
        <v>600dne</v>
      </c>
      <c r="F21" s="38" t="str">
        <f t="shared" si="2"/>
        <v>Нить  18,8текс В цв.212</v>
      </c>
      <c r="G21" s="38" t="str">
        <f>G5</f>
        <v>пряжа 20 текс</v>
      </c>
      <c r="H21" s="48">
        <f t="shared" ref="H21:J21" si="3">H5</f>
        <v>0</v>
      </c>
      <c r="I21" s="48">
        <f t="shared" si="3"/>
        <v>0</v>
      </c>
      <c r="J21" s="48">
        <f t="shared" si="3"/>
        <v>0</v>
      </c>
    </row>
    <row r="22" spans="1:10" x14ac:dyDescent="0.25">
      <c r="A22" s="141" t="str">
        <f>A6</f>
        <v xml:space="preserve">Производство 297 от 20.01.2026 </v>
      </c>
      <c r="B22" s="141"/>
      <c r="C22" s="22">
        <f>C6</f>
        <v>249.92</v>
      </c>
      <c r="D22">
        <f>ROUND(D6,3)</f>
        <v>24.98</v>
      </c>
      <c r="E22">
        <f t="shared" ref="E22:J34" si="4">ROUND(E6,3)</f>
        <v>52.383000000000003</v>
      </c>
      <c r="F22">
        <f t="shared" si="4"/>
        <v>16.122</v>
      </c>
      <c r="G22">
        <f t="shared" si="4"/>
        <v>44.692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x14ac:dyDescent="0.25">
      <c r="A23" s="141" t="str">
        <f t="shared" ref="A23:A34" si="5">A7</f>
        <v xml:space="preserve">Производство 332 от 21.01.2026 </v>
      </c>
      <c r="B23" s="141"/>
      <c r="C23" s="22">
        <f t="shared" ref="C23:C34" si="6">C7</f>
        <v>124.14</v>
      </c>
      <c r="D23">
        <f t="shared" ref="D23:G34" si="7">ROUND(D7,3)</f>
        <v>12.407999999999999</v>
      </c>
      <c r="E23">
        <f t="shared" si="7"/>
        <v>26.02</v>
      </c>
      <c r="F23">
        <f t="shared" si="7"/>
        <v>8.0079999999999991</v>
      </c>
      <c r="G23">
        <f t="shared" si="7"/>
        <v>22.199000000000002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x14ac:dyDescent="0.25">
      <c r="A24" s="141">
        <f t="shared" si="5"/>
        <v>0</v>
      </c>
      <c r="B24" s="141"/>
      <c r="C24" s="22">
        <f t="shared" si="6"/>
        <v>0</v>
      </c>
      <c r="D24">
        <f t="shared" si="7"/>
        <v>0</v>
      </c>
      <c r="E24">
        <f t="shared" si="7"/>
        <v>0</v>
      </c>
      <c r="F24">
        <f t="shared" si="7"/>
        <v>0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x14ac:dyDescent="0.25">
      <c r="A25" s="141" t="str">
        <f t="shared" si="5"/>
        <v xml:space="preserve">Производство 386 от 21.01.2026 </v>
      </c>
      <c r="B25" s="141"/>
      <c r="C25" s="22">
        <f t="shared" si="6"/>
        <v>167.32</v>
      </c>
      <c r="D25">
        <f t="shared" si="7"/>
        <v>16.724</v>
      </c>
      <c r="E25">
        <f t="shared" si="7"/>
        <v>35.07</v>
      </c>
      <c r="F25">
        <f t="shared" si="7"/>
        <v>10.794</v>
      </c>
      <c r="G25">
        <f t="shared" si="7"/>
        <v>29.920999999999999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t="15.75" thickBot="1" x14ac:dyDescent="0.3">
      <c r="A26" s="141" t="str">
        <f t="shared" si="5"/>
        <v xml:space="preserve">Производство 414 от 22.01.2026 </v>
      </c>
      <c r="B26" s="141"/>
      <c r="C26" s="22">
        <f t="shared" si="6"/>
        <v>120.55</v>
      </c>
      <c r="D26">
        <f t="shared" si="7"/>
        <v>12.048999999999999</v>
      </c>
      <c r="E26">
        <f t="shared" si="7"/>
        <v>25.266999999999999</v>
      </c>
      <c r="F26">
        <f t="shared" si="7"/>
        <v>7.7759999999999998</v>
      </c>
      <c r="G26">
        <f t="shared" si="7"/>
        <v>21.556999999999999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idden="1" x14ac:dyDescent="0.25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idden="1" x14ac:dyDescent="0.25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idden="1" x14ac:dyDescent="0.25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idden="1" x14ac:dyDescent="0.25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idden="1" x14ac:dyDescent="0.25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idden="1" x14ac:dyDescent="0.25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idden="1" x14ac:dyDescent="0.25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.75" hidden="1" thickBot="1" x14ac:dyDescent="0.3">
      <c r="A34" s="141">
        <f t="shared" si="5"/>
        <v>0</v>
      </c>
      <c r="B34" s="141"/>
      <c r="C34" s="22">
        <f t="shared" si="6"/>
        <v>0</v>
      </c>
      <c r="D34">
        <f t="shared" si="7"/>
        <v>0</v>
      </c>
      <c r="E34">
        <f t="shared" si="7"/>
        <v>0</v>
      </c>
      <c r="F34">
        <f t="shared" si="7"/>
        <v>0</v>
      </c>
      <c r="G34">
        <f t="shared" si="7"/>
        <v>0</v>
      </c>
      <c r="H34">
        <f t="shared" si="4"/>
        <v>0</v>
      </c>
      <c r="I34">
        <f t="shared" si="4"/>
        <v>0</v>
      </c>
      <c r="J34">
        <f t="shared" si="4"/>
        <v>0</v>
      </c>
    </row>
    <row r="35" spans="1:10" ht="15" customHeight="1" x14ac:dyDescent="0.25">
      <c r="A35" s="137" t="s">
        <v>6</v>
      </c>
      <c r="B35" s="137"/>
      <c r="C35" s="12">
        <f>SUM(C22:C34)</f>
        <v>661.93</v>
      </c>
      <c r="D35" s="2">
        <f>SUM(D22:D34)</f>
        <v>66.161000000000001</v>
      </c>
      <c r="E35" s="2">
        <f>SUM(E22:E34)</f>
        <v>138.74</v>
      </c>
      <c r="F35" s="2">
        <f t="shared" ref="F35:J35" si="8">SUM(F22:F34)</f>
        <v>42.7</v>
      </c>
      <c r="G35" s="2">
        <f t="shared" si="8"/>
        <v>118.36900000000001</v>
      </c>
      <c r="H35" s="2">
        <f t="shared" si="8"/>
        <v>0</v>
      </c>
      <c r="I35" s="2">
        <f t="shared" si="8"/>
        <v>0</v>
      </c>
      <c r="J35" s="2">
        <f t="shared" si="8"/>
        <v>0</v>
      </c>
    </row>
    <row r="38" spans="1:10" x14ac:dyDescent="0.25">
      <c r="D38" t="s">
        <v>107</v>
      </c>
      <c r="E38" t="s">
        <v>108</v>
      </c>
      <c r="F38" t="s">
        <v>109</v>
      </c>
    </row>
    <row r="39" spans="1:10" x14ac:dyDescent="0.25">
      <c r="C39" t="str">
        <f>D5</f>
        <v xml:space="preserve">150dne суровая </v>
      </c>
      <c r="D39" s="69">
        <f>D19/C19</f>
        <v>9.9950145785808173E-2</v>
      </c>
      <c r="E39" s="69">
        <v>0.105</v>
      </c>
      <c r="F39" s="29">
        <f>D39/E39-1</f>
        <v>-4.8093849658969789E-2</v>
      </c>
      <c r="G39" s="69"/>
      <c r="H39" s="69"/>
      <c r="I39" s="69"/>
      <c r="J39" s="69"/>
    </row>
    <row r="40" spans="1:10" x14ac:dyDescent="0.25">
      <c r="C40" t="str">
        <f>E5</f>
        <v>600dne</v>
      </c>
      <c r="D40" s="69">
        <f>E19/C19</f>
        <v>0.20959920233257295</v>
      </c>
      <c r="E40" s="69">
        <v>0.16600000000000001</v>
      </c>
      <c r="F40" s="29">
        <f t="shared" ref="F40:F42" si="9">D40/E40-1</f>
        <v>0.26264579718417425</v>
      </c>
    </row>
    <row r="41" spans="1:10" x14ac:dyDescent="0.25">
      <c r="C41" t="str">
        <f>F5</f>
        <v>Нить  18,8текс В цв.212</v>
      </c>
      <c r="D41" s="69">
        <f>F19/C19</f>
        <v>6.4508331696705098E-2</v>
      </c>
      <c r="E41" s="69">
        <v>9.4E-2</v>
      </c>
      <c r="F41" s="29">
        <f t="shared" si="9"/>
        <v>-0.3137411521627117</v>
      </c>
      <c r="G41" s="69"/>
      <c r="H41" s="69"/>
      <c r="I41" s="69"/>
      <c r="J41" s="69"/>
    </row>
    <row r="42" spans="1:10" x14ac:dyDescent="0.25">
      <c r="C42" t="str">
        <f>G5</f>
        <v>пряжа 20 текс</v>
      </c>
      <c r="D42" s="69">
        <f>G19/C19</f>
        <v>0.1788255555723415</v>
      </c>
      <c r="E42" s="69">
        <v>0.188</v>
      </c>
      <c r="F42" s="29">
        <f t="shared" si="9"/>
        <v>-4.8800236317332435E-2</v>
      </c>
    </row>
    <row r="43" spans="1:10" x14ac:dyDescent="0.25">
      <c r="D43" s="69"/>
      <c r="E43" s="69"/>
      <c r="F43" s="50"/>
    </row>
    <row r="46" spans="1:10" x14ac:dyDescent="0.25">
      <c r="A46" s="138"/>
      <c r="B46" s="138"/>
      <c r="C46" s="138"/>
      <c r="D46" s="138"/>
      <c r="E46" s="138"/>
      <c r="F46" s="138"/>
      <c r="G46" s="138"/>
    </row>
  </sheetData>
  <mergeCells count="30">
    <mergeCell ref="A10:B10"/>
    <mergeCell ref="A1:E1"/>
    <mergeCell ref="A8:B8"/>
    <mergeCell ref="A6:B6"/>
    <mergeCell ref="A7:B7"/>
    <mergeCell ref="A9:B9"/>
    <mergeCell ref="A34:B34"/>
    <mergeCell ref="A35:B35"/>
    <mergeCell ref="A46:G4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24:B24"/>
    <mergeCell ref="A11:B11"/>
    <mergeCell ref="A12:B12"/>
    <mergeCell ref="A13:B13"/>
    <mergeCell ref="A14:B14"/>
    <mergeCell ref="A15:B15"/>
    <mergeCell ref="A17:B17"/>
    <mergeCell ref="A18:B18"/>
    <mergeCell ref="A19:B19"/>
    <mergeCell ref="A22:B22"/>
    <mergeCell ref="A23:B23"/>
    <mergeCell ref="A16:B16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topLeftCell="A14" workbookViewId="0">
      <selection activeCell="A45" sqref="A45:G45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11.5703125" customWidth="1"/>
    <col min="9" max="9" width="10.5703125" hidden="1" customWidth="1"/>
    <col min="10" max="10" width="3.28515625" hidden="1" customWidth="1"/>
  </cols>
  <sheetData>
    <row r="1" spans="1:10" x14ac:dyDescent="0.25">
      <c r="A1" s="138" t="s">
        <v>469</v>
      </c>
      <c r="B1" s="138"/>
      <c r="C1" s="138"/>
      <c r="D1" s="138"/>
      <c r="E1" s="138"/>
    </row>
    <row r="2" spans="1:10" x14ac:dyDescent="0.25">
      <c r="A2" s="37"/>
      <c r="B2" s="104"/>
      <c r="C2" s="104"/>
      <c r="D2" s="104"/>
      <c r="E2" s="104"/>
    </row>
    <row r="3" spans="1:10" x14ac:dyDescent="0.25">
      <c r="A3" s="37" t="s">
        <v>246</v>
      </c>
      <c r="D3" t="s">
        <v>447</v>
      </c>
    </row>
    <row r="4" spans="1:10" ht="45" x14ac:dyDescent="0.25">
      <c r="D4" s="38" t="s">
        <v>470</v>
      </c>
      <c r="E4" s="38" t="s">
        <v>215</v>
      </c>
      <c r="F4" s="38" t="s">
        <v>134</v>
      </c>
      <c r="G4" s="38" t="s">
        <v>471</v>
      </c>
      <c r="H4" s="8" t="s">
        <v>472</v>
      </c>
      <c r="I4" s="4"/>
      <c r="J4" s="4"/>
    </row>
    <row r="5" spans="1:10" ht="15" customHeight="1" x14ac:dyDescent="0.25">
      <c r="A5" s="174" t="s">
        <v>473</v>
      </c>
      <c r="B5" s="174"/>
      <c r="C5" s="108">
        <v>45.68</v>
      </c>
      <c r="D5">
        <f t="shared" ref="D5:J17" si="0">$C5/$C$18*D$18</f>
        <v>9.7880041724617524</v>
      </c>
      <c r="E5">
        <f t="shared" si="0"/>
        <v>4.2917050195979272</v>
      </c>
      <c r="F5">
        <f t="shared" si="0"/>
        <v>18.926603236818814</v>
      </c>
      <c r="G5">
        <f t="shared" si="0"/>
        <v>2.3023378429637122</v>
      </c>
      <c r="H5">
        <f t="shared" si="0"/>
        <v>0.35773233025666967</v>
      </c>
      <c r="I5">
        <f t="shared" si="0"/>
        <v>0</v>
      </c>
      <c r="J5">
        <f t="shared" si="0"/>
        <v>0</v>
      </c>
    </row>
    <row r="6" spans="1:10" ht="15" customHeight="1" x14ac:dyDescent="0.25">
      <c r="A6" s="174" t="s">
        <v>474</v>
      </c>
      <c r="B6" s="174"/>
      <c r="C6" s="108">
        <v>119.21</v>
      </c>
      <c r="D6">
        <f t="shared" si="0"/>
        <v>25.543519645340751</v>
      </c>
      <c r="E6">
        <f t="shared" si="0"/>
        <v>11.199959618788723</v>
      </c>
      <c r="F6">
        <f t="shared" si="0"/>
        <v>49.392302361234037</v>
      </c>
      <c r="G6">
        <f t="shared" si="0"/>
        <v>6.0083558288026309</v>
      </c>
      <c r="H6">
        <f t="shared" si="0"/>
        <v>0.93356547920091049</v>
      </c>
      <c r="I6">
        <f t="shared" si="0"/>
        <v>0</v>
      </c>
      <c r="J6">
        <f t="shared" si="0"/>
        <v>0</v>
      </c>
    </row>
    <row r="7" spans="1:10" ht="15" customHeight="1" x14ac:dyDescent="0.25">
      <c r="A7" s="174" t="s">
        <v>475</v>
      </c>
      <c r="B7" s="174"/>
      <c r="C7" s="108">
        <v>89.62</v>
      </c>
      <c r="D7">
        <f t="shared" si="0"/>
        <v>19.20317280945758</v>
      </c>
      <c r="E7">
        <f t="shared" si="0"/>
        <v>8.4199344101656344</v>
      </c>
      <c r="F7">
        <f t="shared" si="0"/>
        <v>37.132271937033757</v>
      </c>
      <c r="G7">
        <f t="shared" si="0"/>
        <v>4.516977177898597</v>
      </c>
      <c r="H7">
        <f t="shared" si="0"/>
        <v>0.70183825388797583</v>
      </c>
      <c r="I7">
        <f t="shared" si="0"/>
        <v>0</v>
      </c>
      <c r="J7">
        <f t="shared" si="0"/>
        <v>0</v>
      </c>
    </row>
    <row r="8" spans="1:10" ht="15" customHeight="1" x14ac:dyDescent="0.25">
      <c r="A8" s="174" t="s">
        <v>476</v>
      </c>
      <c r="B8" s="174"/>
      <c r="C8" s="108">
        <v>356.33</v>
      </c>
      <c r="D8">
        <f t="shared" si="0"/>
        <v>76.352003650904038</v>
      </c>
      <c r="E8">
        <f t="shared" si="0"/>
        <v>33.477741892148188</v>
      </c>
      <c r="F8">
        <f t="shared" si="0"/>
        <v>147.63827783221646</v>
      </c>
      <c r="G8">
        <f t="shared" si="0"/>
        <v>17.959545612593249</v>
      </c>
      <c r="H8">
        <f t="shared" si="0"/>
        <v>2.7905157889745862</v>
      </c>
      <c r="I8">
        <f t="shared" si="0"/>
        <v>0</v>
      </c>
      <c r="J8">
        <f t="shared" si="0"/>
        <v>0</v>
      </c>
    </row>
    <row r="9" spans="1:10" x14ac:dyDescent="0.25">
      <c r="A9" s="174" t="s">
        <v>477</v>
      </c>
      <c r="B9" s="174"/>
      <c r="C9" s="108">
        <v>449.26</v>
      </c>
      <c r="D9">
        <f t="shared" si="0"/>
        <v>96.26442107093186</v>
      </c>
      <c r="E9">
        <f t="shared" si="0"/>
        <v>42.208655803514993</v>
      </c>
      <c r="F9">
        <f t="shared" si="0"/>
        <v>186.14198270957138</v>
      </c>
      <c r="G9">
        <f t="shared" si="0"/>
        <v>22.643351561512205</v>
      </c>
      <c r="H9">
        <f t="shared" si="0"/>
        <v>3.5182755405234549</v>
      </c>
      <c r="I9">
        <f t="shared" si="0"/>
        <v>0</v>
      </c>
      <c r="J9">
        <f t="shared" si="0"/>
        <v>0</v>
      </c>
    </row>
    <row r="10" spans="1:10" x14ac:dyDescent="0.25">
      <c r="A10" s="174" t="s">
        <v>478</v>
      </c>
      <c r="B10" s="174"/>
      <c r="C10" s="108">
        <v>385.44</v>
      </c>
      <c r="D10">
        <f t="shared" si="0"/>
        <v>82.589499304589708</v>
      </c>
      <c r="E10">
        <f t="shared" si="0"/>
        <v>36.212670375521562</v>
      </c>
      <c r="F10">
        <f t="shared" si="0"/>
        <v>159.69942976356052</v>
      </c>
      <c r="G10">
        <f t="shared" si="0"/>
        <v>19.426731571627261</v>
      </c>
      <c r="H10">
        <f t="shared" si="0"/>
        <v>3.0184840055632827</v>
      </c>
      <c r="I10">
        <f t="shared" si="0"/>
        <v>0</v>
      </c>
      <c r="J10">
        <f t="shared" si="0"/>
        <v>0</v>
      </c>
    </row>
    <row r="11" spans="1:10" x14ac:dyDescent="0.25">
      <c r="A11" s="174" t="s">
        <v>479</v>
      </c>
      <c r="B11" s="174"/>
      <c r="C11" s="108">
        <v>392.12</v>
      </c>
      <c r="D11">
        <f t="shared" si="0"/>
        <v>84.020844923504868</v>
      </c>
      <c r="E11">
        <f t="shared" si="0"/>
        <v>36.840266468580104</v>
      </c>
      <c r="F11">
        <f t="shared" si="0"/>
        <v>162.46715545580983</v>
      </c>
      <c r="G11">
        <f t="shared" si="0"/>
        <v>19.763413200151728</v>
      </c>
      <c r="H11">
        <f t="shared" si="0"/>
        <v>3.070796876975598</v>
      </c>
      <c r="I11">
        <f t="shared" si="0"/>
        <v>0</v>
      </c>
      <c r="J11">
        <f t="shared" si="0"/>
        <v>0</v>
      </c>
    </row>
    <row r="12" spans="1:10" ht="15" customHeight="1" x14ac:dyDescent="0.25">
      <c r="A12" s="174" t="s">
        <v>480</v>
      </c>
      <c r="B12" s="174"/>
      <c r="C12" s="108">
        <v>330.65</v>
      </c>
      <c r="D12">
        <f>$C12/$C$18*D$18</f>
        <v>70.849465403337973</v>
      </c>
      <c r="E12">
        <f>$C12/$C$18*E$18</f>
        <v>31.065067091288409</v>
      </c>
      <c r="F12">
        <f t="shared" si="0"/>
        <v>136.99827846440763</v>
      </c>
      <c r="G12">
        <f t="shared" si="0"/>
        <v>16.6652365975471</v>
      </c>
      <c r="H12">
        <f t="shared" si="0"/>
        <v>2.589408822227842</v>
      </c>
      <c r="I12">
        <f t="shared" si="0"/>
        <v>0</v>
      </c>
      <c r="J12">
        <f t="shared" si="0"/>
        <v>0</v>
      </c>
    </row>
    <row r="13" spans="1:10" ht="15" customHeight="1" x14ac:dyDescent="0.25">
      <c r="A13" s="174" t="s">
        <v>481</v>
      </c>
      <c r="B13" s="174"/>
      <c r="C13" s="108">
        <v>131.88999999999999</v>
      </c>
      <c r="D13">
        <f t="shared" ref="D13:E17" si="1">$C13/$C$18*D$18</f>
        <v>28.260505041724617</v>
      </c>
      <c r="E13">
        <f t="shared" si="1"/>
        <v>12.391264777468708</v>
      </c>
      <c r="F13">
        <f t="shared" si="0"/>
        <v>54.646009214186371</v>
      </c>
      <c r="G13">
        <f t="shared" si="0"/>
        <v>6.6474461057023655</v>
      </c>
      <c r="H13">
        <f t="shared" si="0"/>
        <v>1.0328659596662031</v>
      </c>
      <c r="I13">
        <f t="shared" si="0"/>
        <v>0</v>
      </c>
      <c r="J13">
        <f t="shared" si="0"/>
        <v>0</v>
      </c>
    </row>
    <row r="14" spans="1:10" ht="15" customHeight="1" x14ac:dyDescent="0.25">
      <c r="A14" s="174" t="s">
        <v>482</v>
      </c>
      <c r="B14" s="174"/>
      <c r="C14" s="108">
        <v>35.72</v>
      </c>
      <c r="D14">
        <f t="shared" si="1"/>
        <v>7.6538421418636995</v>
      </c>
      <c r="E14">
        <f t="shared" si="1"/>
        <v>3.35594797066633</v>
      </c>
      <c r="F14">
        <f t="shared" si="0"/>
        <v>14.79987451005184</v>
      </c>
      <c r="G14">
        <f t="shared" si="0"/>
        <v>1.8003394866607665</v>
      </c>
      <c r="H14">
        <f t="shared" si="0"/>
        <v>0.27973289922872679</v>
      </c>
      <c r="I14">
        <f t="shared" si="0"/>
        <v>0</v>
      </c>
      <c r="J14">
        <f t="shared" si="0"/>
        <v>0</v>
      </c>
    </row>
    <row r="15" spans="1:10" ht="15" customHeight="1" x14ac:dyDescent="0.25">
      <c r="A15" s="174" t="s">
        <v>483</v>
      </c>
      <c r="B15" s="174"/>
      <c r="C15" s="108">
        <v>65.88</v>
      </c>
      <c r="D15">
        <f t="shared" si="1"/>
        <v>14.116324756606396</v>
      </c>
      <c r="E15">
        <f t="shared" si="1"/>
        <v>6.1895255405234542</v>
      </c>
      <c r="F15">
        <f t="shared" si="0"/>
        <v>27.2960731445189</v>
      </c>
      <c r="G15">
        <f t="shared" si="0"/>
        <v>3.3204469591604502</v>
      </c>
      <c r="H15">
        <f t="shared" si="0"/>
        <v>0.51592394740169434</v>
      </c>
      <c r="I15">
        <f t="shared" si="0"/>
        <v>0</v>
      </c>
      <c r="J15">
        <f t="shared" si="0"/>
        <v>0</v>
      </c>
    </row>
    <row r="16" spans="1:10" ht="15" customHeight="1" x14ac:dyDescent="0.25">
      <c r="A16" s="174" t="s">
        <v>484</v>
      </c>
      <c r="B16" s="174"/>
      <c r="C16" s="108">
        <v>129.08000000000001</v>
      </c>
      <c r="D16">
        <f t="shared" si="1"/>
        <v>27.658397079276778</v>
      </c>
      <c r="E16">
        <f t="shared" si="1"/>
        <v>12.127261031735999</v>
      </c>
      <c r="F16">
        <f t="shared" si="0"/>
        <v>53.481741370590477</v>
      </c>
      <c r="G16">
        <f t="shared" si="0"/>
        <v>6.5058180553799483</v>
      </c>
      <c r="H16">
        <f t="shared" si="0"/>
        <v>1.0108600960930587</v>
      </c>
      <c r="I16">
        <f t="shared" si="0"/>
        <v>0</v>
      </c>
      <c r="J16">
        <f t="shared" si="0"/>
        <v>0</v>
      </c>
    </row>
    <row r="17" spans="1:10" ht="15.75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2530.8799999999997</v>
      </c>
      <c r="D18" s="2">
        <v>542.29999999999995</v>
      </c>
      <c r="E18" s="2">
        <v>237.78</v>
      </c>
      <c r="F18" s="2">
        <v>1048.6199999999999</v>
      </c>
      <c r="G18" s="2">
        <v>127.56</v>
      </c>
      <c r="H18" s="2">
        <v>19.82</v>
      </c>
      <c r="I18" s="2"/>
      <c r="J18" s="2"/>
    </row>
    <row r="20" spans="1:10" s="47" customFormat="1" ht="27" customHeight="1" x14ac:dyDescent="0.25">
      <c r="D20" s="38" t="str">
        <f t="shared" ref="D20:F20" si="2">D4</f>
        <v>Пряжа вискоза 100% 20текс</v>
      </c>
      <c r="E20" s="38" t="str">
        <f t="shared" si="2"/>
        <v xml:space="preserve">150dne суровая </v>
      </c>
      <c r="F20" s="38" t="str">
        <f t="shared" si="2"/>
        <v>900dne Турция</v>
      </c>
      <c r="G20" s="38" t="str">
        <f>G4</f>
        <v xml:space="preserve">Метанить Турция </v>
      </c>
      <c r="H20" s="38" t="str">
        <f t="shared" ref="H20:J20" si="3">H4</f>
        <v>Трилобал серо-голубой</v>
      </c>
      <c r="I20" s="48">
        <f t="shared" si="3"/>
        <v>0</v>
      </c>
      <c r="J20" s="48">
        <f t="shared" si="3"/>
        <v>0</v>
      </c>
    </row>
    <row r="21" spans="1:10" x14ac:dyDescent="0.25">
      <c r="A21" s="141" t="str">
        <f>A5</f>
        <v xml:space="preserve">Производство 145 от 26.02.2026 </v>
      </c>
      <c r="B21" s="141"/>
      <c r="C21" s="22">
        <f>C5</f>
        <v>45.68</v>
      </c>
      <c r="D21">
        <f>ROUND(D5,3)</f>
        <v>9.7880000000000003</v>
      </c>
      <c r="E21">
        <f t="shared" ref="E21:J33" si="4">ROUND(E5,3)</f>
        <v>4.2919999999999998</v>
      </c>
      <c r="F21">
        <f t="shared" si="4"/>
        <v>18.927</v>
      </c>
      <c r="G21">
        <f t="shared" si="4"/>
        <v>2.302</v>
      </c>
      <c r="H21">
        <f t="shared" si="4"/>
        <v>0.35799999999999998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ref="A22:A33" si="5">A6</f>
        <v xml:space="preserve">Производство 146 от 27.02.2026 </v>
      </c>
      <c r="B22" s="141"/>
      <c r="C22" s="22">
        <f t="shared" ref="C22:C33" si="6">C6</f>
        <v>119.21</v>
      </c>
      <c r="D22">
        <f t="shared" ref="D22:G33" si="7">ROUND(D6,3)</f>
        <v>25.544</v>
      </c>
      <c r="E22">
        <f t="shared" si="7"/>
        <v>11.2</v>
      </c>
      <c r="F22">
        <f t="shared" si="7"/>
        <v>49.392000000000003</v>
      </c>
      <c r="G22">
        <f t="shared" si="7"/>
        <v>6.008</v>
      </c>
      <c r="H22">
        <f t="shared" si="4"/>
        <v>0.93400000000000005</v>
      </c>
      <c r="I22">
        <f t="shared" si="4"/>
        <v>0</v>
      </c>
      <c r="J22">
        <f t="shared" si="4"/>
        <v>0</v>
      </c>
    </row>
    <row r="23" spans="1:10" x14ac:dyDescent="0.25">
      <c r="A23" s="141" t="str">
        <f t="shared" si="5"/>
        <v xml:space="preserve">Производство 153 от 01.03.2026 </v>
      </c>
      <c r="B23" s="141"/>
      <c r="C23" s="22">
        <f t="shared" si="6"/>
        <v>89.62</v>
      </c>
      <c r="D23">
        <f t="shared" si="7"/>
        <v>19.202999999999999</v>
      </c>
      <c r="E23">
        <f t="shared" si="7"/>
        <v>8.42</v>
      </c>
      <c r="F23">
        <f t="shared" si="7"/>
        <v>37.131999999999998</v>
      </c>
      <c r="G23">
        <f t="shared" si="7"/>
        <v>4.5170000000000003</v>
      </c>
      <c r="H23">
        <f t="shared" si="4"/>
        <v>0.70199999999999996</v>
      </c>
      <c r="I23">
        <f t="shared" si="4"/>
        <v>0</v>
      </c>
      <c r="J23">
        <f t="shared" si="4"/>
        <v>0</v>
      </c>
    </row>
    <row r="24" spans="1:10" x14ac:dyDescent="0.25">
      <c r="A24" s="141" t="str">
        <f t="shared" si="5"/>
        <v xml:space="preserve">Производство 165 от 02.03.2026 </v>
      </c>
      <c r="B24" s="141"/>
      <c r="C24" s="22">
        <f t="shared" si="6"/>
        <v>356.33</v>
      </c>
      <c r="D24">
        <f t="shared" si="7"/>
        <v>76.352000000000004</v>
      </c>
      <c r="E24">
        <f t="shared" si="7"/>
        <v>33.478000000000002</v>
      </c>
      <c r="F24">
        <f t="shared" si="7"/>
        <v>147.63800000000001</v>
      </c>
      <c r="G24">
        <f t="shared" si="7"/>
        <v>17.96</v>
      </c>
      <c r="H24">
        <f t="shared" si="4"/>
        <v>2.7909999999999999</v>
      </c>
      <c r="I24">
        <f t="shared" si="4"/>
        <v>0</v>
      </c>
      <c r="J24">
        <f t="shared" si="4"/>
        <v>0</v>
      </c>
    </row>
    <row r="25" spans="1:10" x14ac:dyDescent="0.25">
      <c r="A25" s="141" t="str">
        <f t="shared" si="5"/>
        <v xml:space="preserve">Производство 172 от 03.03.2026 </v>
      </c>
      <c r="B25" s="141"/>
      <c r="C25" s="22">
        <f t="shared" si="6"/>
        <v>449.26</v>
      </c>
      <c r="D25">
        <f t="shared" si="7"/>
        <v>96.263999999999996</v>
      </c>
      <c r="E25">
        <f t="shared" si="7"/>
        <v>42.209000000000003</v>
      </c>
      <c r="F25">
        <f t="shared" si="7"/>
        <v>186.142</v>
      </c>
      <c r="G25">
        <f t="shared" si="7"/>
        <v>22.643000000000001</v>
      </c>
      <c r="H25">
        <f t="shared" si="4"/>
        <v>3.5179999999999998</v>
      </c>
      <c r="I25">
        <f t="shared" si="4"/>
        <v>0</v>
      </c>
      <c r="J25">
        <f t="shared" si="4"/>
        <v>0</v>
      </c>
    </row>
    <row r="26" spans="1:10" x14ac:dyDescent="0.25">
      <c r="A26" s="141" t="str">
        <f t="shared" si="5"/>
        <v xml:space="preserve">Производство 197 от 04.03.2026 </v>
      </c>
      <c r="B26" s="141"/>
      <c r="C26" s="22">
        <f t="shared" si="6"/>
        <v>385.44</v>
      </c>
      <c r="D26">
        <f t="shared" si="7"/>
        <v>82.588999999999999</v>
      </c>
      <c r="E26">
        <f t="shared" si="7"/>
        <v>36.213000000000001</v>
      </c>
      <c r="F26">
        <f t="shared" si="7"/>
        <v>159.69900000000001</v>
      </c>
      <c r="G26">
        <f t="shared" si="7"/>
        <v>19.427</v>
      </c>
      <c r="H26">
        <f t="shared" si="4"/>
        <v>3.0179999999999998</v>
      </c>
      <c r="I26">
        <f t="shared" si="4"/>
        <v>0</v>
      </c>
      <c r="J26">
        <f t="shared" si="4"/>
        <v>0</v>
      </c>
    </row>
    <row r="27" spans="1:10" x14ac:dyDescent="0.25">
      <c r="A27" s="141" t="str">
        <f t="shared" si="5"/>
        <v xml:space="preserve">Производство 199 от 05.03.2026 </v>
      </c>
      <c r="B27" s="141"/>
      <c r="C27" s="22">
        <f t="shared" si="6"/>
        <v>392.12</v>
      </c>
      <c r="D27">
        <f t="shared" si="7"/>
        <v>84.021000000000001</v>
      </c>
      <c r="E27">
        <f t="shared" si="7"/>
        <v>36.840000000000003</v>
      </c>
      <c r="F27">
        <f t="shared" si="7"/>
        <v>162.46700000000001</v>
      </c>
      <c r="G27">
        <f t="shared" si="7"/>
        <v>19.763000000000002</v>
      </c>
      <c r="H27">
        <f t="shared" si="4"/>
        <v>3.0710000000000002</v>
      </c>
      <c r="I27">
        <f t="shared" si="4"/>
        <v>0</v>
      </c>
      <c r="J27">
        <f t="shared" si="4"/>
        <v>0</v>
      </c>
    </row>
    <row r="28" spans="1:10" x14ac:dyDescent="0.25">
      <c r="A28" s="141" t="str">
        <f t="shared" si="5"/>
        <v xml:space="preserve">Производство 250 от 06.03.2026 </v>
      </c>
      <c r="B28" s="141"/>
      <c r="C28" s="22">
        <f t="shared" si="6"/>
        <v>330.65</v>
      </c>
      <c r="D28">
        <f t="shared" si="7"/>
        <v>70.849000000000004</v>
      </c>
      <c r="E28">
        <f t="shared" si="7"/>
        <v>31.065000000000001</v>
      </c>
      <c r="F28">
        <f t="shared" si="7"/>
        <v>136.99799999999999</v>
      </c>
      <c r="G28">
        <f t="shared" si="7"/>
        <v>16.664999999999999</v>
      </c>
      <c r="H28">
        <f t="shared" si="4"/>
        <v>2.589</v>
      </c>
      <c r="I28">
        <f t="shared" si="4"/>
        <v>0</v>
      </c>
      <c r="J28">
        <f t="shared" si="4"/>
        <v>0</v>
      </c>
    </row>
    <row r="29" spans="1:10" x14ac:dyDescent="0.25">
      <c r="A29" s="141" t="str">
        <f t="shared" si="5"/>
        <v xml:space="preserve">Производство 255 от 07.03.2026 </v>
      </c>
      <c r="B29" s="141"/>
      <c r="C29" s="22">
        <f t="shared" si="6"/>
        <v>131.88999999999999</v>
      </c>
      <c r="D29">
        <f t="shared" si="7"/>
        <v>28.260999999999999</v>
      </c>
      <c r="E29">
        <f t="shared" si="7"/>
        <v>12.391</v>
      </c>
      <c r="F29">
        <f t="shared" si="7"/>
        <v>54.646000000000001</v>
      </c>
      <c r="G29">
        <f t="shared" si="7"/>
        <v>6.6470000000000002</v>
      </c>
      <c r="H29">
        <f t="shared" si="4"/>
        <v>1.0329999999999999</v>
      </c>
      <c r="I29">
        <f t="shared" si="4"/>
        <v>0</v>
      </c>
      <c r="J29">
        <f t="shared" si="4"/>
        <v>0</v>
      </c>
    </row>
    <row r="30" spans="1:10" x14ac:dyDescent="0.25">
      <c r="A30" s="141" t="str">
        <f t="shared" si="5"/>
        <v xml:space="preserve">Производство 258 от 08.03.2026 </v>
      </c>
      <c r="B30" s="141"/>
      <c r="C30" s="22">
        <f t="shared" si="6"/>
        <v>35.72</v>
      </c>
      <c r="D30">
        <f t="shared" si="7"/>
        <v>7.6539999999999999</v>
      </c>
      <c r="E30">
        <f t="shared" si="7"/>
        <v>3.3559999999999999</v>
      </c>
      <c r="F30">
        <f t="shared" si="7"/>
        <v>14.8</v>
      </c>
      <c r="G30">
        <f t="shared" si="7"/>
        <v>1.8</v>
      </c>
      <c r="H30">
        <f t="shared" si="4"/>
        <v>0.28000000000000003</v>
      </c>
      <c r="I30">
        <f t="shared" si="4"/>
        <v>0</v>
      </c>
      <c r="J30">
        <f t="shared" si="4"/>
        <v>0</v>
      </c>
    </row>
    <row r="31" spans="1:10" x14ac:dyDescent="0.25">
      <c r="A31" s="141" t="str">
        <f t="shared" si="5"/>
        <v xml:space="preserve">Производство 259 от 09.03.2026 </v>
      </c>
      <c r="B31" s="141"/>
      <c r="C31" s="22">
        <f t="shared" si="6"/>
        <v>65.88</v>
      </c>
      <c r="D31">
        <f t="shared" si="7"/>
        <v>14.116</v>
      </c>
      <c r="E31">
        <f t="shared" si="7"/>
        <v>6.19</v>
      </c>
      <c r="F31">
        <f t="shared" si="7"/>
        <v>27.295999999999999</v>
      </c>
      <c r="G31">
        <f t="shared" si="7"/>
        <v>3.32</v>
      </c>
      <c r="H31">
        <f t="shared" si="4"/>
        <v>0.51600000000000001</v>
      </c>
      <c r="I31">
        <f t="shared" si="4"/>
        <v>0</v>
      </c>
      <c r="J31">
        <f t="shared" si="4"/>
        <v>0</v>
      </c>
    </row>
    <row r="32" spans="1:10" x14ac:dyDescent="0.25">
      <c r="A32" s="141" t="str">
        <f t="shared" si="5"/>
        <v xml:space="preserve">Производство 261 от 10.03.2026 </v>
      </c>
      <c r="B32" s="141"/>
      <c r="C32" s="22">
        <f t="shared" si="6"/>
        <v>129.08000000000001</v>
      </c>
      <c r="D32">
        <f t="shared" si="7"/>
        <v>27.658000000000001</v>
      </c>
      <c r="E32">
        <f t="shared" si="7"/>
        <v>12.127000000000001</v>
      </c>
      <c r="F32">
        <f t="shared" si="7"/>
        <v>53.481999999999999</v>
      </c>
      <c r="G32">
        <f t="shared" si="7"/>
        <v>6.5060000000000002</v>
      </c>
      <c r="H32">
        <f t="shared" si="4"/>
        <v>1.0109999999999999</v>
      </c>
      <c r="I32">
        <f t="shared" si="4"/>
        <v>0</v>
      </c>
      <c r="J32">
        <f t="shared" si="4"/>
        <v>0</v>
      </c>
    </row>
    <row r="33" spans="1:10" ht="15.75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2530.8799999999997</v>
      </c>
      <c r="D34" s="2">
        <f>SUM(D21:D33)</f>
        <v>542.29900000000009</v>
      </c>
      <c r="E34" s="2">
        <f>SUM(E21:E33)</f>
        <v>237.78100000000001</v>
      </c>
      <c r="F34" s="2">
        <f t="shared" ref="F34:J34" si="8">SUM(F21:F33)</f>
        <v>1048.6189999999999</v>
      </c>
      <c r="G34" s="2">
        <f t="shared" si="8"/>
        <v>127.55799999999999</v>
      </c>
      <c r="H34" s="2">
        <f t="shared" si="8"/>
        <v>19.821000000000002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>Пряжа вискоза 100% 20текс</v>
      </c>
      <c r="D38" s="104">
        <f>D18/C18</f>
        <v>0.21427329624478444</v>
      </c>
      <c r="E38" s="104">
        <v>0.22600000000000001</v>
      </c>
      <c r="F38" s="29">
        <f>D38/E38-1</f>
        <v>-5.1888069713343143E-2</v>
      </c>
      <c r="G38" s="104"/>
      <c r="H38" s="104"/>
      <c r="I38" s="104"/>
      <c r="J38" s="104"/>
    </row>
    <row r="39" spans="1:10" x14ac:dyDescent="0.25">
      <c r="C39" t="str">
        <f>E4</f>
        <v xml:space="preserve">150dne суровая </v>
      </c>
      <c r="D39" s="104">
        <f>E18/C18</f>
        <v>9.3951510936907331E-2</v>
      </c>
      <c r="E39" s="104">
        <v>0.15</v>
      </c>
      <c r="F39" s="29">
        <f t="shared" ref="F39:F42" si="9">D39/E39-1</f>
        <v>-0.37365659375395111</v>
      </c>
    </row>
    <row r="40" spans="1:10" x14ac:dyDescent="0.25">
      <c r="C40" t="str">
        <f>F4</f>
        <v>900dne Турция</v>
      </c>
      <c r="D40" s="104">
        <f>F18/C18</f>
        <v>0.41433019345049943</v>
      </c>
      <c r="E40" s="104">
        <v>0.38</v>
      </c>
      <c r="F40" s="29">
        <f t="shared" si="9"/>
        <v>9.0342614343419614E-2</v>
      </c>
      <c r="G40" s="104"/>
      <c r="H40" s="104"/>
      <c r="I40" s="104"/>
      <c r="J40" s="104"/>
    </row>
    <row r="41" spans="1:10" x14ac:dyDescent="0.25">
      <c r="C41" t="str">
        <f>G4</f>
        <v xml:space="preserve">Метанить Турция </v>
      </c>
      <c r="D41" s="104">
        <f>G18/C18</f>
        <v>5.040144139587812E-2</v>
      </c>
      <c r="E41" s="104">
        <v>0.06</v>
      </c>
      <c r="F41" s="29">
        <f t="shared" si="9"/>
        <v>-0.15997597673536468</v>
      </c>
    </row>
    <row r="42" spans="1:10" x14ac:dyDescent="0.25">
      <c r="C42" t="str">
        <f>H4</f>
        <v>Трилобал серо-голубой</v>
      </c>
      <c r="D42" s="104">
        <f>H18/C18</f>
        <v>7.8312681754962709E-3</v>
      </c>
      <c r="E42" s="104">
        <v>3.9E-2</v>
      </c>
      <c r="F42" s="50">
        <f t="shared" si="9"/>
        <v>-0.79919825191035199</v>
      </c>
    </row>
    <row r="43" spans="1:10" x14ac:dyDescent="0.25">
      <c r="G43" t="s">
        <v>485</v>
      </c>
    </row>
    <row r="45" spans="1:10" x14ac:dyDescent="0.25">
      <c r="A45" s="138"/>
      <c r="B45" s="138"/>
      <c r="C45" s="138"/>
      <c r="D45" s="138"/>
      <c r="E45" s="138"/>
      <c r="F45" s="138"/>
      <c r="G45" s="138"/>
    </row>
  </sheetData>
  <mergeCells count="30">
    <mergeCell ref="A1:E1"/>
    <mergeCell ref="A5:B5"/>
    <mergeCell ref="A6:B6"/>
    <mergeCell ref="A7:B7"/>
    <mergeCell ref="A8:B8"/>
    <mergeCell ref="A34:B34"/>
    <mergeCell ref="A45:G45"/>
    <mergeCell ref="A24:B24"/>
    <mergeCell ref="A25:B25"/>
    <mergeCell ref="A26:B26"/>
    <mergeCell ref="A27:B27"/>
    <mergeCell ref="A28:B28"/>
    <mergeCell ref="A29:B29"/>
    <mergeCell ref="A14:B14"/>
    <mergeCell ref="A30:B30"/>
    <mergeCell ref="A31:B31"/>
    <mergeCell ref="A32:B32"/>
    <mergeCell ref="A33:B33"/>
    <mergeCell ref="A17:B17"/>
    <mergeCell ref="A18:B18"/>
    <mergeCell ref="A21:B21"/>
    <mergeCell ref="A22:B22"/>
    <mergeCell ref="A23:B23"/>
    <mergeCell ref="A16:B16"/>
    <mergeCell ref="A15:B15"/>
    <mergeCell ref="A9:B9"/>
    <mergeCell ref="A10:B10"/>
    <mergeCell ref="A11:B11"/>
    <mergeCell ref="A12:B12"/>
    <mergeCell ref="A13:B13"/>
  </mergeCells>
  <pageMargins left="0.70866141732283472" right="0.70866141732283472" top="0.74803149606299213" bottom="0.74803149606299213" header="0.31496062992125984" footer="0.31496062992125984"/>
  <pageSetup paperSize="9" scale="6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workbookViewId="0">
      <selection activeCell="F34" sqref="F34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315</v>
      </c>
      <c r="B1" s="138"/>
      <c r="C1" s="138"/>
      <c r="D1" s="138"/>
      <c r="E1" s="138"/>
    </row>
    <row r="2" spans="1:10" x14ac:dyDescent="0.25">
      <c r="A2" s="37"/>
      <c r="B2" s="73"/>
      <c r="C2" s="73"/>
      <c r="D2" s="73"/>
      <c r="E2" s="66" t="s">
        <v>322</v>
      </c>
      <c r="F2" s="66" t="s">
        <v>323</v>
      </c>
    </row>
    <row r="3" spans="1:10" x14ac:dyDescent="0.25">
      <c r="A3" s="37" t="s">
        <v>316</v>
      </c>
      <c r="D3" t="s">
        <v>191</v>
      </c>
    </row>
    <row r="4" spans="1:10" ht="30" x14ac:dyDescent="0.25">
      <c r="D4" s="38" t="s">
        <v>317</v>
      </c>
      <c r="E4" s="38" t="s">
        <v>7</v>
      </c>
      <c r="F4" s="38" t="s">
        <v>318</v>
      </c>
      <c r="G4" s="38" t="s">
        <v>43</v>
      </c>
      <c r="H4" s="4"/>
      <c r="I4" s="4"/>
      <c r="J4" s="4"/>
    </row>
    <row r="5" spans="1:10" ht="15" customHeight="1" x14ac:dyDescent="0.25">
      <c r="A5" s="175" t="s">
        <v>319</v>
      </c>
      <c r="B5" s="175"/>
      <c r="C5" s="75">
        <v>76.989999999999995</v>
      </c>
      <c r="D5">
        <f t="shared" ref="D5:J17" si="0">$C5/$C$18*D$18</f>
        <v>8.3880923606533369</v>
      </c>
      <c r="E5">
        <f t="shared" si="0"/>
        <v>14.92939463854098</v>
      </c>
      <c r="F5">
        <f t="shared" si="0"/>
        <v>10.436478612759101</v>
      </c>
      <c r="G5">
        <f t="shared" si="0"/>
        <v>13.497075001831099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75" t="s">
        <v>320</v>
      </c>
      <c r="B6" s="175"/>
      <c r="C6" s="75">
        <v>305.91000000000003</v>
      </c>
      <c r="D6">
        <f t="shared" si="0"/>
        <v>33.329021094264995</v>
      </c>
      <c r="E6">
        <f t="shared" si="0"/>
        <v>59.3200560316414</v>
      </c>
      <c r="F6">
        <f t="shared" si="0"/>
        <v>41.468024060646016</v>
      </c>
      <c r="G6">
        <f t="shared" si="0"/>
        <v>53.628915622940013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thickBot="1" x14ac:dyDescent="0.3">
      <c r="A7" s="175" t="s">
        <v>321</v>
      </c>
      <c r="B7" s="175"/>
      <c r="C7" s="75">
        <v>163.22</v>
      </c>
      <c r="D7">
        <f t="shared" si="0"/>
        <v>17.782886545081666</v>
      </c>
      <c r="E7">
        <f t="shared" si="0"/>
        <v>31.650549329817625</v>
      </c>
      <c r="F7">
        <f t="shared" si="0"/>
        <v>22.125497326594889</v>
      </c>
      <c r="G7">
        <f t="shared" si="0"/>
        <v>28.614009375228889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hidden="1" customHeight="1" x14ac:dyDescent="0.25">
      <c r="A8" s="166"/>
      <c r="B8" s="166"/>
      <c r="C8" s="70"/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idden="1" x14ac:dyDescent="0.25">
      <c r="A9" s="166"/>
      <c r="B9" s="166"/>
      <c r="C9" s="70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idden="1" x14ac:dyDescent="0.25">
      <c r="A10" s="166"/>
      <c r="B10" s="166"/>
      <c r="C10" s="70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hidden="1" thickBot="1" x14ac:dyDescent="0.3">
      <c r="A11" s="166"/>
      <c r="B11" s="166"/>
      <c r="C11" s="70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546.12</v>
      </c>
      <c r="D18" s="2">
        <v>59.5</v>
      </c>
      <c r="E18" s="2">
        <v>105.9</v>
      </c>
      <c r="F18" s="76">
        <v>74.03</v>
      </c>
      <c r="G18" s="2">
        <v>95.74</v>
      </c>
      <c r="H18" s="2"/>
      <c r="I18" s="2"/>
      <c r="J18" s="2"/>
    </row>
    <row r="20" spans="1:10" s="47" customFormat="1" ht="27" customHeight="1" x14ac:dyDescent="0.25">
      <c r="D20" s="38" t="str">
        <f t="shared" ref="D20:F20" si="2">D4</f>
        <v xml:space="preserve">150D  суровая </v>
      </c>
      <c r="E20" s="38" t="str">
        <f t="shared" si="2"/>
        <v>600dne</v>
      </c>
      <c r="F20" s="38" t="str">
        <f t="shared" si="2"/>
        <v>18,8текс №212</v>
      </c>
      <c r="G20" s="38" t="str">
        <f>G4</f>
        <v>20 текс</v>
      </c>
      <c r="H20" s="48">
        <f t="shared" ref="H20:J20" si="3">H4</f>
        <v>0</v>
      </c>
      <c r="I20" s="48">
        <f t="shared" si="3"/>
        <v>0</v>
      </c>
      <c r="J20" s="48">
        <f t="shared" si="3"/>
        <v>0</v>
      </c>
    </row>
    <row r="21" spans="1:10" x14ac:dyDescent="0.25">
      <c r="A21" s="141" t="str">
        <f>A5</f>
        <v xml:space="preserve">Производство 477 от 23.01.2026 </v>
      </c>
      <c r="B21" s="141"/>
      <c r="C21" s="22">
        <f>C5</f>
        <v>76.989999999999995</v>
      </c>
      <c r="D21">
        <f>ROUND(D5,3)</f>
        <v>8.3879999999999999</v>
      </c>
      <c r="E21">
        <f t="shared" ref="E21:J33" si="4">ROUND(E5,3)</f>
        <v>14.929</v>
      </c>
      <c r="F21">
        <f t="shared" si="4"/>
        <v>10.436</v>
      </c>
      <c r="G21">
        <f t="shared" si="4"/>
        <v>13.497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ref="A22:A33" si="5">A6</f>
        <v xml:space="preserve">Производство 482 от 26.01.2026 </v>
      </c>
      <c r="B22" s="141"/>
      <c r="C22" s="22">
        <f t="shared" ref="C22:C33" si="6">C6</f>
        <v>305.91000000000003</v>
      </c>
      <c r="D22">
        <f t="shared" ref="D22:G33" si="7">ROUND(D6,3)</f>
        <v>33.329000000000001</v>
      </c>
      <c r="E22">
        <f t="shared" si="7"/>
        <v>59.32</v>
      </c>
      <c r="F22">
        <f t="shared" si="7"/>
        <v>41.468000000000004</v>
      </c>
      <c r="G22">
        <f t="shared" si="7"/>
        <v>53.628999999999998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ht="15.75" thickBot="1" x14ac:dyDescent="0.3">
      <c r="A23" s="141" t="str">
        <f t="shared" si="5"/>
        <v xml:space="preserve">Производство 501 от 27.01.2026 </v>
      </c>
      <c r="B23" s="141"/>
      <c r="C23" s="22">
        <f t="shared" si="6"/>
        <v>163.22</v>
      </c>
      <c r="D23">
        <f t="shared" si="7"/>
        <v>17.783000000000001</v>
      </c>
      <c r="E23">
        <f t="shared" si="7"/>
        <v>31.651</v>
      </c>
      <c r="F23">
        <f t="shared" si="7"/>
        <v>22.125</v>
      </c>
      <c r="G23">
        <f t="shared" si="7"/>
        <v>28.614000000000001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hidden="1" x14ac:dyDescent="0.25">
      <c r="A24" s="141">
        <f t="shared" si="5"/>
        <v>0</v>
      </c>
      <c r="B24" s="141"/>
      <c r="C24" s="22">
        <f t="shared" si="6"/>
        <v>0</v>
      </c>
      <c r="D24">
        <f t="shared" si="7"/>
        <v>0</v>
      </c>
      <c r="E24">
        <f t="shared" si="7"/>
        <v>0</v>
      </c>
      <c r="F24">
        <f t="shared" si="7"/>
        <v>0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hidden="1" x14ac:dyDescent="0.25">
      <c r="A25" s="141">
        <f t="shared" si="5"/>
        <v>0</v>
      </c>
      <c r="B25" s="141"/>
      <c r="C25" s="22">
        <f t="shared" si="6"/>
        <v>0</v>
      </c>
      <c r="D25">
        <f t="shared" si="7"/>
        <v>0</v>
      </c>
      <c r="E25">
        <f t="shared" si="7"/>
        <v>0</v>
      </c>
      <c r="F25">
        <f t="shared" si="7"/>
        <v>0</v>
      </c>
      <c r="G25">
        <f t="shared" si="7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t="15.75" hidden="1" thickBot="1" x14ac:dyDescent="0.3">
      <c r="A26" s="141">
        <f t="shared" si="5"/>
        <v>0</v>
      </c>
      <c r="B26" s="141"/>
      <c r="C26" s="22">
        <f t="shared" si="6"/>
        <v>0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t="15.75" hidden="1" thickBot="1" x14ac:dyDescent="0.3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t="15.75" hidden="1" thickBot="1" x14ac:dyDescent="0.3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t="15.75" hidden="1" thickBot="1" x14ac:dyDescent="0.3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t="15.75" hidden="1" thickBot="1" x14ac:dyDescent="0.3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t="15.75" hidden="1" thickBot="1" x14ac:dyDescent="0.3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t="15.75" hidden="1" thickBot="1" x14ac:dyDescent="0.3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546.12</v>
      </c>
      <c r="D34" s="2">
        <f>SUM(D21:D33)</f>
        <v>59.5</v>
      </c>
      <c r="E34" s="2">
        <f>SUM(E21:E33)</f>
        <v>105.89999999999999</v>
      </c>
      <c r="F34" s="76">
        <f t="shared" ref="F34:J34" si="8">SUM(F21:F33)</f>
        <v>74.028999999999996</v>
      </c>
      <c r="G34" s="2">
        <f t="shared" si="8"/>
        <v>95.740000000000009</v>
      </c>
      <c r="H34" s="2">
        <f t="shared" si="8"/>
        <v>0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 xml:space="preserve">150D  суровая </v>
      </c>
      <c r="D38" s="73">
        <f>D18/C18</f>
        <v>0.10895041382846261</v>
      </c>
      <c r="E38" s="73">
        <v>0.105</v>
      </c>
      <c r="F38" s="29">
        <f>D38/E38-1</f>
        <v>3.7622988842501037E-2</v>
      </c>
      <c r="G38" s="73"/>
      <c r="H38" s="73"/>
      <c r="I38" s="73"/>
      <c r="J38" s="73"/>
    </row>
    <row r="39" spans="1:10" x14ac:dyDescent="0.25">
      <c r="C39" t="str">
        <f>E4</f>
        <v>600dne</v>
      </c>
      <c r="D39" s="73">
        <f>E18/C18</f>
        <v>0.19391342562074271</v>
      </c>
      <c r="E39" s="73">
        <v>0.16600000000000001</v>
      </c>
      <c r="F39" s="29">
        <f t="shared" ref="F39:F41" si="9">D39/E39-1</f>
        <v>0.16815316639001621</v>
      </c>
    </row>
    <row r="40" spans="1:10" x14ac:dyDescent="0.25">
      <c r="C40" t="str">
        <f>F4</f>
        <v>18,8текс №212</v>
      </c>
      <c r="D40" s="73">
        <f>F18/C18</f>
        <v>0.13555628799531239</v>
      </c>
      <c r="E40" s="73">
        <v>9.4E-2</v>
      </c>
      <c r="F40" s="29">
        <f t="shared" si="9"/>
        <v>0.44208817016289781</v>
      </c>
      <c r="G40" s="73"/>
      <c r="H40" s="73"/>
      <c r="I40" s="73"/>
      <c r="J40" s="73"/>
    </row>
    <row r="41" spans="1:10" x14ac:dyDescent="0.25">
      <c r="C41" t="str">
        <f>G4</f>
        <v>20 текс</v>
      </c>
      <c r="D41" s="73">
        <f>G18/C18</f>
        <v>0.17530945579726068</v>
      </c>
      <c r="E41" s="73">
        <v>0.188</v>
      </c>
      <c r="F41" s="29">
        <f t="shared" si="9"/>
        <v>-6.7502894695421922E-2</v>
      </c>
    </row>
    <row r="42" spans="1:10" x14ac:dyDescent="0.25">
      <c r="D42" s="73"/>
      <c r="E42" s="73"/>
      <c r="F42" s="50"/>
    </row>
    <row r="45" spans="1:10" x14ac:dyDescent="0.25">
      <c r="A45" s="138"/>
      <c r="B45" s="138"/>
      <c r="C45" s="138"/>
      <c r="D45" s="138"/>
      <c r="E45" s="138"/>
      <c r="F45" s="138"/>
      <c r="G45" s="138"/>
    </row>
  </sheetData>
  <mergeCells count="30">
    <mergeCell ref="A45:G4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1:B21"/>
    <mergeCell ref="A22:B22"/>
    <mergeCell ref="A1:E1"/>
    <mergeCell ref="A8:B8"/>
    <mergeCell ref="A9:B9"/>
    <mergeCell ref="A5:B5"/>
    <mergeCell ref="A6:B6"/>
    <mergeCell ref="A7:B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workbookViewId="0">
      <selection activeCell="D42" sqref="D42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535</v>
      </c>
      <c r="B1" s="138"/>
      <c r="C1" s="138"/>
      <c r="D1" s="138"/>
      <c r="E1" s="138"/>
      <c r="G1" s="88">
        <v>46105</v>
      </c>
    </row>
    <row r="2" spans="1:10" x14ac:dyDescent="0.25">
      <c r="A2" s="37"/>
      <c r="B2" s="117"/>
      <c r="C2" s="117"/>
      <c r="D2" s="117"/>
      <c r="E2" s="117"/>
    </row>
    <row r="3" spans="1:10" x14ac:dyDescent="0.25">
      <c r="A3" s="37" t="s">
        <v>536</v>
      </c>
      <c r="D3" t="s">
        <v>221</v>
      </c>
      <c r="E3" s="89" t="s">
        <v>537</v>
      </c>
    </row>
    <row r="4" spans="1:10" ht="30" x14ac:dyDescent="0.25">
      <c r="D4" s="38" t="s">
        <v>538</v>
      </c>
      <c r="E4" s="38" t="s">
        <v>450</v>
      </c>
      <c r="F4" s="38" t="s">
        <v>250</v>
      </c>
      <c r="G4" s="38" t="s">
        <v>539</v>
      </c>
      <c r="H4" s="4"/>
      <c r="I4" s="4"/>
      <c r="J4" s="4"/>
    </row>
    <row r="5" spans="1:10" ht="15" customHeight="1" x14ac:dyDescent="0.25">
      <c r="A5" s="176" t="s">
        <v>540</v>
      </c>
      <c r="B5" s="176"/>
      <c r="C5" s="120">
        <v>289.45999999999998</v>
      </c>
      <c r="D5">
        <f t="shared" ref="D5:J17" si="0">$C5/$C$18*D$18</f>
        <v>29.092146195433628</v>
      </c>
      <c r="E5">
        <f t="shared" si="0"/>
        <v>66.596105267861134</v>
      </c>
      <c r="F5">
        <f t="shared" si="0"/>
        <v>24.687067065814755</v>
      </c>
      <c r="G5">
        <f t="shared" si="0"/>
        <v>87.992942942674603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76" t="s">
        <v>541</v>
      </c>
      <c r="B6" s="176"/>
      <c r="C6" s="120">
        <v>288.02999999999997</v>
      </c>
      <c r="D6">
        <f t="shared" si="0"/>
        <v>28.948424199097449</v>
      </c>
      <c r="E6">
        <f t="shared" si="0"/>
        <v>66.267104955095832</v>
      </c>
      <c r="F6">
        <f t="shared" si="0"/>
        <v>24.565107189133638</v>
      </c>
      <c r="G6">
        <f t="shared" si="0"/>
        <v>87.558237254814358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76" t="s">
        <v>542</v>
      </c>
      <c r="B7" s="176"/>
      <c r="C7" s="120">
        <v>53.37</v>
      </c>
      <c r="D7">
        <f t="shared" si="0"/>
        <v>5.3639461150082655</v>
      </c>
      <c r="E7">
        <f t="shared" si="0"/>
        <v>12.278843840757784</v>
      </c>
      <c r="F7">
        <f t="shared" si="0"/>
        <v>4.5517472856440726</v>
      </c>
      <c r="G7">
        <f t="shared" si="0"/>
        <v>16.22394584692373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x14ac:dyDescent="0.25">
      <c r="A8" s="176" t="s">
        <v>543</v>
      </c>
      <c r="B8" s="176"/>
      <c r="C8" s="120">
        <v>181.83</v>
      </c>
      <c r="D8">
        <f t="shared" si="0"/>
        <v>18.274804611054019</v>
      </c>
      <c r="E8">
        <f t="shared" si="0"/>
        <v>41.833655153925207</v>
      </c>
      <c r="F8">
        <f t="shared" si="0"/>
        <v>15.50766739645235</v>
      </c>
      <c r="G8">
        <f t="shared" si="0"/>
        <v>55.274500156382651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x14ac:dyDescent="0.25">
      <c r="A9" s="176" t="s">
        <v>544</v>
      </c>
      <c r="B9" s="176"/>
      <c r="C9" s="120">
        <v>183.37</v>
      </c>
      <c r="D9">
        <f t="shared" si="0"/>
        <v>18.429582145569906</v>
      </c>
      <c r="E9">
        <f t="shared" si="0"/>
        <v>42.187963183057057</v>
      </c>
      <c r="F9">
        <f t="shared" si="0"/>
        <v>15.639008802108933</v>
      </c>
      <c r="G9">
        <f t="shared" si="0"/>
        <v>55.742644743309064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t="15.75" thickBot="1" x14ac:dyDescent="0.3">
      <c r="A10" s="176" t="s">
        <v>545</v>
      </c>
      <c r="B10" s="176"/>
      <c r="C10" s="120">
        <v>122.99</v>
      </c>
      <c r="D10">
        <f t="shared" si="0"/>
        <v>12.361096733836737</v>
      </c>
      <c r="E10">
        <f t="shared" si="0"/>
        <v>28.296327599302977</v>
      </c>
      <c r="F10">
        <f t="shared" si="0"/>
        <v>10.489402260846253</v>
      </c>
      <c r="G10">
        <f t="shared" si="0"/>
        <v>37.387729055895626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hidden="1" thickBot="1" x14ac:dyDescent="0.3">
      <c r="A11" s="177"/>
      <c r="B11" s="177"/>
      <c r="C11" s="97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1119.05</v>
      </c>
      <c r="D18" s="2">
        <v>112.47</v>
      </c>
      <c r="E18" s="2">
        <v>257.45999999999998</v>
      </c>
      <c r="F18" s="2">
        <v>95.44</v>
      </c>
      <c r="G18" s="2">
        <v>340.18</v>
      </c>
      <c r="H18" s="2"/>
      <c r="I18" s="2"/>
      <c r="J18" s="2"/>
    </row>
    <row r="19" spans="1:10" x14ac:dyDescent="0.25">
      <c r="F19" s="91"/>
    </row>
    <row r="20" spans="1:10" x14ac:dyDescent="0.25">
      <c r="F20" s="91"/>
    </row>
    <row r="21" spans="1:10" s="47" customFormat="1" ht="27" customHeight="1" x14ac:dyDescent="0.25">
      <c r="D21" s="38" t="str">
        <f t="shared" ref="D21:F21" si="2">D4</f>
        <v xml:space="preserve">Нить 150D/48F №243 бежев </v>
      </c>
      <c r="E21" s="38" t="str">
        <f t="shared" si="2"/>
        <v>600dne Турция</v>
      </c>
      <c r="F21" s="38" t="str">
        <f t="shared" si="2"/>
        <v>Трилобал серый</v>
      </c>
      <c r="G21" s="38" t="str">
        <f>G4</f>
        <v>Пряжа 29,4текс</v>
      </c>
      <c r="H21" s="48">
        <f t="shared" ref="H21:J21" si="3">H4</f>
        <v>0</v>
      </c>
      <c r="I21" s="48">
        <f t="shared" si="3"/>
        <v>0</v>
      </c>
      <c r="J21" s="48">
        <f t="shared" si="3"/>
        <v>0</v>
      </c>
    </row>
    <row r="22" spans="1:10" x14ac:dyDescent="0.25">
      <c r="A22" s="141" t="str">
        <f t="shared" ref="A22:A34" si="4">A5</f>
        <v xml:space="preserve">Производство 1306 от 24.02.2026 </v>
      </c>
      <c r="B22" s="141"/>
      <c r="C22" s="22">
        <f t="shared" ref="C22:C34" si="5">C5</f>
        <v>289.45999999999998</v>
      </c>
      <c r="D22">
        <f t="shared" ref="D22:J34" si="6">ROUND(D5,3)</f>
        <v>29.091999999999999</v>
      </c>
      <c r="E22">
        <f t="shared" si="6"/>
        <v>66.596000000000004</v>
      </c>
      <c r="F22">
        <f t="shared" si="6"/>
        <v>24.687000000000001</v>
      </c>
      <c r="G22">
        <f t="shared" si="6"/>
        <v>87.992999999999995</v>
      </c>
      <c r="H22">
        <f t="shared" si="6"/>
        <v>0</v>
      </c>
      <c r="I22">
        <f t="shared" si="6"/>
        <v>0</v>
      </c>
      <c r="J22">
        <f t="shared" si="6"/>
        <v>0</v>
      </c>
    </row>
    <row r="23" spans="1:10" x14ac:dyDescent="0.25">
      <c r="A23" s="141" t="str">
        <f t="shared" si="4"/>
        <v xml:space="preserve">Производство 1381 от 25.02.2026 </v>
      </c>
      <c r="B23" s="141"/>
      <c r="C23" s="22">
        <f t="shared" si="5"/>
        <v>288.02999999999997</v>
      </c>
      <c r="D23">
        <f t="shared" si="6"/>
        <v>28.948</v>
      </c>
      <c r="E23">
        <f t="shared" si="6"/>
        <v>66.266999999999996</v>
      </c>
      <c r="F23">
        <f t="shared" si="6"/>
        <v>24.565000000000001</v>
      </c>
      <c r="G23">
        <f t="shared" si="6"/>
        <v>87.558000000000007</v>
      </c>
      <c r="H23">
        <f t="shared" si="6"/>
        <v>0</v>
      </c>
      <c r="I23">
        <f t="shared" si="6"/>
        <v>0</v>
      </c>
      <c r="J23">
        <f t="shared" si="6"/>
        <v>0</v>
      </c>
    </row>
    <row r="24" spans="1:10" x14ac:dyDescent="0.25">
      <c r="A24" s="141" t="str">
        <f t="shared" si="4"/>
        <v xml:space="preserve">Производство 1441 от 27.02.2026 </v>
      </c>
      <c r="B24" s="141"/>
      <c r="C24" s="22">
        <f t="shared" si="5"/>
        <v>53.37</v>
      </c>
      <c r="D24">
        <f t="shared" si="6"/>
        <v>5.3639999999999999</v>
      </c>
      <c r="E24">
        <f t="shared" si="6"/>
        <v>12.279</v>
      </c>
      <c r="F24">
        <f t="shared" si="6"/>
        <v>4.5519999999999996</v>
      </c>
      <c r="G24">
        <f t="shared" si="6"/>
        <v>16.224</v>
      </c>
      <c r="H24">
        <f t="shared" si="6"/>
        <v>0</v>
      </c>
      <c r="I24">
        <f t="shared" si="6"/>
        <v>0</v>
      </c>
      <c r="J24">
        <f t="shared" si="6"/>
        <v>0</v>
      </c>
    </row>
    <row r="25" spans="1:10" x14ac:dyDescent="0.25">
      <c r="A25" s="141" t="str">
        <f t="shared" si="4"/>
        <v xml:space="preserve">Производство 1932 от 19.03.2026 </v>
      </c>
      <c r="B25" s="141"/>
      <c r="C25" s="22">
        <f t="shared" si="5"/>
        <v>181.83</v>
      </c>
      <c r="D25">
        <f t="shared" si="6"/>
        <v>18.274999999999999</v>
      </c>
      <c r="E25">
        <f t="shared" si="6"/>
        <v>41.834000000000003</v>
      </c>
      <c r="F25">
        <f t="shared" si="6"/>
        <v>15.507999999999999</v>
      </c>
      <c r="G25">
        <f t="shared" si="6"/>
        <v>55.274999999999999</v>
      </c>
      <c r="H25">
        <f t="shared" si="6"/>
        <v>0</v>
      </c>
      <c r="I25">
        <f t="shared" si="6"/>
        <v>0</v>
      </c>
      <c r="J25">
        <f t="shared" si="6"/>
        <v>0</v>
      </c>
    </row>
    <row r="26" spans="1:10" x14ac:dyDescent="0.25">
      <c r="A26" s="141" t="str">
        <f t="shared" si="4"/>
        <v xml:space="preserve">Производство 2009 от 20.03.2026 </v>
      </c>
      <c r="B26" s="141"/>
      <c r="C26" s="22">
        <f t="shared" si="5"/>
        <v>183.37</v>
      </c>
      <c r="D26">
        <f t="shared" si="6"/>
        <v>18.43</v>
      </c>
      <c r="E26">
        <f t="shared" si="6"/>
        <v>42.188000000000002</v>
      </c>
      <c r="F26">
        <f t="shared" si="6"/>
        <v>15.638999999999999</v>
      </c>
      <c r="G26">
        <f t="shared" si="6"/>
        <v>55.743000000000002</v>
      </c>
      <c r="H26">
        <f t="shared" si="6"/>
        <v>0</v>
      </c>
      <c r="I26">
        <f t="shared" si="6"/>
        <v>0</v>
      </c>
      <c r="J26">
        <f t="shared" si="6"/>
        <v>0</v>
      </c>
    </row>
    <row r="27" spans="1:10" x14ac:dyDescent="0.25">
      <c r="A27" s="141" t="str">
        <f t="shared" si="4"/>
        <v xml:space="preserve">Производство 2019 от 23.03.2026 </v>
      </c>
      <c r="B27" s="141"/>
      <c r="C27" s="22">
        <f t="shared" si="5"/>
        <v>122.99</v>
      </c>
      <c r="D27">
        <f t="shared" si="6"/>
        <v>12.361000000000001</v>
      </c>
      <c r="E27">
        <f t="shared" si="6"/>
        <v>28.295999999999999</v>
      </c>
      <c r="F27">
        <f t="shared" si="6"/>
        <v>10.489000000000001</v>
      </c>
      <c r="G27">
        <f t="shared" si="6"/>
        <v>37.387999999999998</v>
      </c>
      <c r="H27">
        <f t="shared" si="6"/>
        <v>0</v>
      </c>
      <c r="I27">
        <f t="shared" si="6"/>
        <v>0</v>
      </c>
      <c r="J27">
        <f t="shared" si="6"/>
        <v>0</v>
      </c>
    </row>
    <row r="28" spans="1:10" hidden="1" x14ac:dyDescent="0.25">
      <c r="A28" s="141">
        <f t="shared" si="4"/>
        <v>0</v>
      </c>
      <c r="B28" s="141"/>
      <c r="C28" s="22">
        <f t="shared" si="5"/>
        <v>0</v>
      </c>
      <c r="D28">
        <f t="shared" si="6"/>
        <v>0</v>
      </c>
      <c r="E28">
        <f t="shared" si="6"/>
        <v>0</v>
      </c>
      <c r="F28">
        <f t="shared" si="6"/>
        <v>0</v>
      </c>
      <c r="G28">
        <f t="shared" si="6"/>
        <v>0</v>
      </c>
      <c r="H28">
        <f t="shared" si="6"/>
        <v>0</v>
      </c>
      <c r="I28">
        <f t="shared" si="6"/>
        <v>0</v>
      </c>
      <c r="J28">
        <f t="shared" si="6"/>
        <v>0</v>
      </c>
    </row>
    <row r="29" spans="1:10" hidden="1" x14ac:dyDescent="0.25">
      <c r="A29" s="141">
        <f t="shared" si="4"/>
        <v>0</v>
      </c>
      <c r="B29" s="141"/>
      <c r="C29" s="22">
        <f t="shared" si="5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</row>
    <row r="30" spans="1:10" hidden="1" x14ac:dyDescent="0.25">
      <c r="A30" s="141">
        <f t="shared" si="4"/>
        <v>0</v>
      </c>
      <c r="B30" s="141"/>
      <c r="C30" s="22">
        <f t="shared" si="5"/>
        <v>0</v>
      </c>
      <c r="D30">
        <f t="shared" si="6"/>
        <v>0</v>
      </c>
      <c r="E30">
        <f t="shared" si="6"/>
        <v>0</v>
      </c>
      <c r="F30">
        <f t="shared" si="6"/>
        <v>0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0</v>
      </c>
    </row>
    <row r="31" spans="1:10" hidden="1" x14ac:dyDescent="0.25">
      <c r="A31" s="141">
        <f t="shared" si="4"/>
        <v>0</v>
      </c>
      <c r="B31" s="141"/>
      <c r="C31" s="22">
        <f t="shared" si="5"/>
        <v>0</v>
      </c>
      <c r="D31">
        <f t="shared" si="6"/>
        <v>0</v>
      </c>
      <c r="E31">
        <f t="shared" si="6"/>
        <v>0</v>
      </c>
      <c r="F31">
        <f t="shared" si="6"/>
        <v>0</v>
      </c>
      <c r="G31">
        <f t="shared" si="6"/>
        <v>0</v>
      </c>
      <c r="H31">
        <f t="shared" si="6"/>
        <v>0</v>
      </c>
      <c r="I31">
        <f t="shared" si="6"/>
        <v>0</v>
      </c>
      <c r="J31">
        <f t="shared" si="6"/>
        <v>0</v>
      </c>
    </row>
    <row r="32" spans="1:10" hidden="1" x14ac:dyDescent="0.25">
      <c r="A32" s="141">
        <f t="shared" si="4"/>
        <v>0</v>
      </c>
      <c r="B32" s="141"/>
      <c r="C32" s="22">
        <f t="shared" si="5"/>
        <v>0</v>
      </c>
      <c r="D32">
        <f t="shared" si="6"/>
        <v>0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6"/>
        <v>0</v>
      </c>
      <c r="I32">
        <f t="shared" si="6"/>
        <v>0</v>
      </c>
      <c r="J32">
        <f t="shared" si="6"/>
        <v>0</v>
      </c>
    </row>
    <row r="33" spans="1:10" hidden="1" x14ac:dyDescent="0.25">
      <c r="A33" s="141">
        <f t="shared" si="4"/>
        <v>0</v>
      </c>
      <c r="B33" s="141"/>
      <c r="C33" s="22">
        <f t="shared" si="5"/>
        <v>0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0</v>
      </c>
      <c r="H33">
        <f t="shared" si="6"/>
        <v>0</v>
      </c>
      <c r="I33">
        <f t="shared" si="6"/>
        <v>0</v>
      </c>
      <c r="J33">
        <f t="shared" si="6"/>
        <v>0</v>
      </c>
    </row>
    <row r="34" spans="1:10" ht="0.75" customHeight="1" thickBot="1" x14ac:dyDescent="0.3">
      <c r="A34" s="141">
        <f t="shared" si="4"/>
        <v>0</v>
      </c>
      <c r="B34" s="141"/>
      <c r="C34" s="22">
        <f t="shared" si="5"/>
        <v>0</v>
      </c>
      <c r="D34">
        <f t="shared" si="6"/>
        <v>0</v>
      </c>
      <c r="E34">
        <f t="shared" si="6"/>
        <v>0</v>
      </c>
      <c r="F34">
        <f t="shared" si="6"/>
        <v>0</v>
      </c>
      <c r="G34">
        <f t="shared" si="6"/>
        <v>0</v>
      </c>
      <c r="H34">
        <f t="shared" si="6"/>
        <v>0</v>
      </c>
      <c r="I34">
        <f t="shared" si="6"/>
        <v>0</v>
      </c>
      <c r="J34">
        <f t="shared" si="6"/>
        <v>0</v>
      </c>
    </row>
    <row r="35" spans="1:10" ht="15" customHeight="1" x14ac:dyDescent="0.25">
      <c r="A35" s="137" t="s">
        <v>6</v>
      </c>
      <c r="B35" s="137"/>
      <c r="C35" s="12">
        <f>SUM(C22:C34)</f>
        <v>1119.05</v>
      </c>
      <c r="D35" s="2">
        <f>SUM(D22:D34)</f>
        <v>112.47000000000001</v>
      </c>
      <c r="E35" s="2">
        <f>SUM(E22:E34)</f>
        <v>257.45999999999998</v>
      </c>
      <c r="F35" s="2">
        <f t="shared" ref="F35:J35" si="7">SUM(F22:F34)</f>
        <v>95.44</v>
      </c>
      <c r="G35" s="2">
        <f t="shared" si="7"/>
        <v>340.18099999999998</v>
      </c>
      <c r="H35" s="2">
        <f t="shared" si="7"/>
        <v>0</v>
      </c>
      <c r="I35" s="2">
        <f t="shared" si="7"/>
        <v>0</v>
      </c>
      <c r="J35" s="2">
        <f t="shared" si="7"/>
        <v>0</v>
      </c>
    </row>
    <row r="38" spans="1:10" x14ac:dyDescent="0.25">
      <c r="D38" t="s">
        <v>107</v>
      </c>
      <c r="E38" t="s">
        <v>108</v>
      </c>
      <c r="F38" t="s">
        <v>109</v>
      </c>
    </row>
    <row r="39" spans="1:10" x14ac:dyDescent="0.25">
      <c r="C39" t="str">
        <f>D4</f>
        <v xml:space="preserve">Нить 150D/48F №243 бежев </v>
      </c>
      <c r="D39" s="117">
        <f>D18/C18</f>
        <v>0.10050489254278183</v>
      </c>
      <c r="E39" s="117">
        <v>0.109</v>
      </c>
      <c r="F39" s="29">
        <f>D39/E39-1</f>
        <v>-7.7936765662552032E-2</v>
      </c>
      <c r="G39" s="117"/>
      <c r="H39" s="117"/>
      <c r="I39" s="117"/>
      <c r="J39" s="117"/>
    </row>
    <row r="40" spans="1:10" x14ac:dyDescent="0.25">
      <c r="C40" t="str">
        <f>E4</f>
        <v>600dne Турция</v>
      </c>
      <c r="D40" s="117">
        <f>E18/C18</f>
        <v>0.23007014878691748</v>
      </c>
      <c r="E40" s="117">
        <v>0.16300000000000001</v>
      </c>
      <c r="F40" s="29">
        <f t="shared" ref="F40:F42" si="8">D40/E40-1</f>
        <v>0.41147330544121141</v>
      </c>
    </row>
    <row r="41" spans="1:10" x14ac:dyDescent="0.25">
      <c r="C41" t="str">
        <f>F4</f>
        <v>Трилобал серый</v>
      </c>
      <c r="D41" s="117">
        <f>F18/C18</f>
        <v>8.5286627049729682E-2</v>
      </c>
      <c r="E41" s="117">
        <v>7.4999999999999997E-2</v>
      </c>
      <c r="F41" s="29">
        <f t="shared" si="8"/>
        <v>0.13715502732972906</v>
      </c>
      <c r="G41" s="117"/>
      <c r="H41" s="117"/>
      <c r="I41" s="117"/>
      <c r="J41" s="117"/>
    </row>
    <row r="42" spans="1:10" x14ac:dyDescent="0.25">
      <c r="C42" t="str">
        <f>G4</f>
        <v>Пряжа 29,4текс</v>
      </c>
      <c r="D42" s="117">
        <f>G18/C18</f>
        <v>0.30398999151065637</v>
      </c>
      <c r="E42" s="117">
        <v>0.30199999999999999</v>
      </c>
      <c r="F42" s="29">
        <f t="shared" si="8"/>
        <v>6.5893758631005994E-3</v>
      </c>
    </row>
    <row r="43" spans="1:10" x14ac:dyDescent="0.25">
      <c r="D43" s="117"/>
      <c r="E43" s="117"/>
      <c r="F43" s="50"/>
    </row>
    <row r="46" spans="1:10" x14ac:dyDescent="0.25">
      <c r="A46" s="138"/>
      <c r="B46" s="138"/>
      <c r="C46" s="138"/>
      <c r="D46" s="138"/>
      <c r="E46" s="138"/>
      <c r="F46" s="138"/>
      <c r="G46" s="138"/>
    </row>
  </sheetData>
  <mergeCells count="30">
    <mergeCell ref="A9:B9"/>
    <mergeCell ref="A10:B10"/>
    <mergeCell ref="A31:B31"/>
    <mergeCell ref="A32:B32"/>
    <mergeCell ref="A33:B33"/>
    <mergeCell ref="A16:B16"/>
    <mergeCell ref="A17:B17"/>
    <mergeCell ref="A18:B18"/>
    <mergeCell ref="A22:B22"/>
    <mergeCell ref="A23:B23"/>
    <mergeCell ref="A24:B24"/>
    <mergeCell ref="A11:B11"/>
    <mergeCell ref="A12:B12"/>
    <mergeCell ref="A13:B13"/>
    <mergeCell ref="A14:B14"/>
    <mergeCell ref="A15:B15"/>
    <mergeCell ref="A34:B34"/>
    <mergeCell ref="A35:B35"/>
    <mergeCell ref="A46:G46"/>
    <mergeCell ref="A25:B25"/>
    <mergeCell ref="A26:B26"/>
    <mergeCell ref="A27:B27"/>
    <mergeCell ref="A28:B28"/>
    <mergeCell ref="A29:B29"/>
    <mergeCell ref="A30:B30"/>
    <mergeCell ref="A1:E1"/>
    <mergeCell ref="A5:B5"/>
    <mergeCell ref="A6:B6"/>
    <mergeCell ref="A7:B7"/>
    <mergeCell ref="A8:B8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workbookViewId="0">
      <selection activeCell="T19" sqref="T19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412</v>
      </c>
      <c r="B1" s="138"/>
      <c r="C1" s="138"/>
      <c r="D1" s="138"/>
      <c r="E1" s="138"/>
      <c r="G1" s="88">
        <v>46077</v>
      </c>
    </row>
    <row r="2" spans="1:10" x14ac:dyDescent="0.25">
      <c r="A2" s="37"/>
      <c r="B2" s="93"/>
      <c r="C2" s="93"/>
      <c r="D2" s="93"/>
      <c r="E2" s="93"/>
    </row>
    <row r="3" spans="1:10" x14ac:dyDescent="0.25">
      <c r="A3" s="37" t="s">
        <v>278</v>
      </c>
      <c r="D3" t="s">
        <v>261</v>
      </c>
      <c r="E3" s="89" t="s">
        <v>413</v>
      </c>
    </row>
    <row r="4" spans="1:10" ht="45" x14ac:dyDescent="0.25">
      <c r="D4" s="38" t="s">
        <v>215</v>
      </c>
      <c r="E4" s="38" t="s">
        <v>43</v>
      </c>
      <c r="F4" s="38" t="s">
        <v>414</v>
      </c>
      <c r="G4" s="38" t="s">
        <v>415</v>
      </c>
      <c r="H4" s="4"/>
      <c r="I4" s="4"/>
      <c r="J4" s="4"/>
    </row>
    <row r="5" spans="1:10" ht="15" customHeight="1" x14ac:dyDescent="0.25">
      <c r="A5" s="177" t="s">
        <v>416</v>
      </c>
      <c r="B5" s="177"/>
      <c r="C5" s="97">
        <v>127.81</v>
      </c>
      <c r="D5">
        <f t="shared" ref="D5:J17" si="0">$C5/$C$18*D$18</f>
        <v>22.04690606168899</v>
      </c>
      <c r="E5">
        <f t="shared" si="0"/>
        <v>23.124996303096772</v>
      </c>
      <c r="F5">
        <f t="shared" si="0"/>
        <v>38.017446672170941</v>
      </c>
      <c r="G5">
        <f t="shared" si="0"/>
        <v>5.1896381964041458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77" t="s">
        <v>417</v>
      </c>
      <c r="B6" s="177"/>
      <c r="C6" s="97">
        <v>200.03</v>
      </c>
      <c r="D6">
        <f t="shared" si="0"/>
        <v>34.504675843202008</v>
      </c>
      <c r="E6">
        <f t="shared" si="0"/>
        <v>36.191949068996536</v>
      </c>
      <c r="F6">
        <f t="shared" si="0"/>
        <v>59.499490320275051</v>
      </c>
      <c r="G6">
        <f t="shared" si="0"/>
        <v>8.1220822191277779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77" t="s">
        <v>418</v>
      </c>
      <c r="B7" s="177"/>
      <c r="C7" s="97">
        <v>268.54000000000002</v>
      </c>
      <c r="D7">
        <f t="shared" si="0"/>
        <v>46.322479882684938</v>
      </c>
      <c r="E7">
        <f t="shared" si="0"/>
        <v>48.587641868661358</v>
      </c>
      <c r="F7">
        <f t="shared" si="0"/>
        <v>79.877983955440001</v>
      </c>
      <c r="G7">
        <f t="shared" si="0"/>
        <v>10.903884212990921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x14ac:dyDescent="0.25">
      <c r="A8" s="177" t="s">
        <v>419</v>
      </c>
      <c r="B8" s="177"/>
      <c r="C8" s="97">
        <v>335.3</v>
      </c>
      <c r="D8">
        <f t="shared" si="0"/>
        <v>57.838413289134799</v>
      </c>
      <c r="E8">
        <f t="shared" si="0"/>
        <v>60.666702608781371</v>
      </c>
      <c r="F8">
        <f t="shared" si="0"/>
        <v>99.735935131671368</v>
      </c>
      <c r="G8">
        <f t="shared" si="0"/>
        <v>13.614628646070809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x14ac:dyDescent="0.25">
      <c r="A9" s="177" t="s">
        <v>420</v>
      </c>
      <c r="B9" s="177"/>
      <c r="C9" s="97">
        <v>343.67</v>
      </c>
      <c r="D9">
        <f t="shared" si="0"/>
        <v>59.282217402555787</v>
      </c>
      <c r="E9">
        <f t="shared" si="0"/>
        <v>62.18110851643273</v>
      </c>
      <c r="F9">
        <f t="shared" si="0"/>
        <v>102.2256153495422</v>
      </c>
      <c r="G9">
        <f t="shared" si="0"/>
        <v>13.954486808216986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x14ac:dyDescent="0.25">
      <c r="A10" s="177" t="s">
        <v>421</v>
      </c>
      <c r="B10" s="177"/>
      <c r="C10" s="97">
        <v>208.01</v>
      </c>
      <c r="D10">
        <f t="shared" si="0"/>
        <v>35.881205929832774</v>
      </c>
      <c r="E10">
        <f t="shared" si="0"/>
        <v>37.635791260520769</v>
      </c>
      <c r="F10">
        <f t="shared" si="0"/>
        <v>61.873163933012115</v>
      </c>
      <c r="G10">
        <f t="shared" si="0"/>
        <v>8.4461046962994004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thickBot="1" x14ac:dyDescent="0.3">
      <c r="A11" s="177" t="s">
        <v>422</v>
      </c>
      <c r="B11" s="177"/>
      <c r="C11" s="97">
        <v>139.62</v>
      </c>
      <c r="D11">
        <f t="shared" si="0"/>
        <v>24.084101590900687</v>
      </c>
      <c r="E11">
        <f t="shared" si="0"/>
        <v>25.261810373510453</v>
      </c>
      <c r="F11">
        <f t="shared" si="0"/>
        <v>41.530364637888326</v>
      </c>
      <c r="G11">
        <f t="shared" si="0"/>
        <v>5.6691752208899677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1622.98</v>
      </c>
      <c r="D18" s="2">
        <v>279.95999999999998</v>
      </c>
      <c r="E18" s="2">
        <v>293.64999999999998</v>
      </c>
      <c r="F18" s="2">
        <v>482.76</v>
      </c>
      <c r="G18" s="2">
        <v>65.900000000000006</v>
      </c>
      <c r="H18" s="2"/>
      <c r="I18" s="2"/>
      <c r="J18" s="2"/>
    </row>
    <row r="19" spans="1:10" x14ac:dyDescent="0.25">
      <c r="F19" s="91"/>
    </row>
    <row r="20" spans="1:10" x14ac:dyDescent="0.25">
      <c r="F20" s="91"/>
    </row>
    <row r="21" spans="1:10" s="47" customFormat="1" ht="27" customHeight="1" x14ac:dyDescent="0.25">
      <c r="D21" s="38" t="str">
        <f t="shared" ref="D21:F21" si="2">D4</f>
        <v xml:space="preserve">150dne суровая </v>
      </c>
      <c r="E21" s="38" t="str">
        <f t="shared" si="2"/>
        <v>20 текс</v>
      </c>
      <c r="F21" s="38" t="str">
        <f t="shared" si="2"/>
        <v xml:space="preserve">900dne </v>
      </c>
      <c r="G21" s="38" t="str">
        <f>G4</f>
        <v xml:space="preserve">150dne суровая ТУРЦИЯ </v>
      </c>
      <c r="H21" s="48">
        <f t="shared" ref="H21:J21" si="3">H4</f>
        <v>0</v>
      </c>
      <c r="I21" s="48">
        <f t="shared" si="3"/>
        <v>0</v>
      </c>
      <c r="J21" s="48">
        <f t="shared" si="3"/>
        <v>0</v>
      </c>
    </row>
    <row r="22" spans="1:10" x14ac:dyDescent="0.25">
      <c r="A22" s="141" t="str">
        <f t="shared" ref="A22:A34" si="4">A5</f>
        <v xml:space="preserve">Производство 980 от 11.02.2026 </v>
      </c>
      <c r="B22" s="141"/>
      <c r="C22" s="22">
        <f t="shared" ref="C22:C34" si="5">C5</f>
        <v>127.81</v>
      </c>
      <c r="D22">
        <f t="shared" ref="D22:J34" si="6">ROUND(D5,3)</f>
        <v>22.047000000000001</v>
      </c>
      <c r="E22">
        <f t="shared" si="6"/>
        <v>23.125</v>
      </c>
      <c r="F22">
        <f t="shared" si="6"/>
        <v>38.017000000000003</v>
      </c>
      <c r="G22">
        <f t="shared" si="6"/>
        <v>5.19</v>
      </c>
      <c r="H22">
        <f t="shared" si="6"/>
        <v>0</v>
      </c>
      <c r="I22">
        <f t="shared" si="6"/>
        <v>0</v>
      </c>
      <c r="J22">
        <f t="shared" si="6"/>
        <v>0</v>
      </c>
    </row>
    <row r="23" spans="1:10" x14ac:dyDescent="0.25">
      <c r="A23" s="141" t="str">
        <f t="shared" si="4"/>
        <v xml:space="preserve">Производство 1012 от 12.02.2026 </v>
      </c>
      <c r="B23" s="141"/>
      <c r="C23" s="22">
        <f t="shared" si="5"/>
        <v>200.03</v>
      </c>
      <c r="D23">
        <f t="shared" si="6"/>
        <v>34.505000000000003</v>
      </c>
      <c r="E23">
        <f t="shared" si="6"/>
        <v>36.192</v>
      </c>
      <c r="F23">
        <f t="shared" si="6"/>
        <v>59.499000000000002</v>
      </c>
      <c r="G23">
        <f t="shared" si="6"/>
        <v>8.1219999999999999</v>
      </c>
      <c r="H23">
        <f t="shared" si="6"/>
        <v>0</v>
      </c>
      <c r="I23">
        <f t="shared" si="6"/>
        <v>0</v>
      </c>
      <c r="J23">
        <f t="shared" si="6"/>
        <v>0</v>
      </c>
    </row>
    <row r="24" spans="1:10" x14ac:dyDescent="0.25">
      <c r="A24" s="141" t="str">
        <f t="shared" si="4"/>
        <v xml:space="preserve">Производство 1016 от 13.02.2026 </v>
      </c>
      <c r="B24" s="141"/>
      <c r="C24" s="22">
        <f t="shared" si="5"/>
        <v>268.54000000000002</v>
      </c>
      <c r="D24">
        <f t="shared" si="6"/>
        <v>46.322000000000003</v>
      </c>
      <c r="E24">
        <f t="shared" si="6"/>
        <v>48.588000000000001</v>
      </c>
      <c r="F24">
        <f t="shared" si="6"/>
        <v>79.878</v>
      </c>
      <c r="G24">
        <f t="shared" si="6"/>
        <v>10.904</v>
      </c>
      <c r="H24">
        <f t="shared" si="6"/>
        <v>0</v>
      </c>
      <c r="I24">
        <f t="shared" si="6"/>
        <v>0</v>
      </c>
      <c r="J24">
        <f t="shared" si="6"/>
        <v>0</v>
      </c>
    </row>
    <row r="25" spans="1:10" x14ac:dyDescent="0.25">
      <c r="A25" s="141" t="str">
        <f t="shared" si="4"/>
        <v xml:space="preserve">Производство 1121 от 16.02.2026 </v>
      </c>
      <c r="B25" s="141"/>
      <c r="C25" s="22">
        <f t="shared" si="5"/>
        <v>335.3</v>
      </c>
      <c r="D25">
        <f t="shared" si="6"/>
        <v>57.838000000000001</v>
      </c>
      <c r="E25">
        <f t="shared" si="6"/>
        <v>60.667000000000002</v>
      </c>
      <c r="F25">
        <f t="shared" si="6"/>
        <v>99.736000000000004</v>
      </c>
      <c r="G25">
        <f t="shared" si="6"/>
        <v>13.615</v>
      </c>
      <c r="H25">
        <f t="shared" si="6"/>
        <v>0</v>
      </c>
      <c r="I25">
        <f t="shared" si="6"/>
        <v>0</v>
      </c>
      <c r="J25">
        <f t="shared" si="6"/>
        <v>0</v>
      </c>
    </row>
    <row r="26" spans="1:10" x14ac:dyDescent="0.25">
      <c r="A26" s="141" t="str">
        <f t="shared" si="4"/>
        <v xml:space="preserve">Производство 1171 от 17.02.2026 </v>
      </c>
      <c r="B26" s="141"/>
      <c r="C26" s="22">
        <f t="shared" si="5"/>
        <v>343.67</v>
      </c>
      <c r="D26">
        <f t="shared" si="6"/>
        <v>59.281999999999996</v>
      </c>
      <c r="E26">
        <f t="shared" si="6"/>
        <v>62.180999999999997</v>
      </c>
      <c r="F26">
        <f t="shared" si="6"/>
        <v>102.226</v>
      </c>
      <c r="G26">
        <f t="shared" si="6"/>
        <v>13.954000000000001</v>
      </c>
      <c r="H26">
        <f t="shared" si="6"/>
        <v>0</v>
      </c>
      <c r="I26">
        <f t="shared" si="6"/>
        <v>0</v>
      </c>
      <c r="J26">
        <f t="shared" si="6"/>
        <v>0</v>
      </c>
    </row>
    <row r="27" spans="1:10" x14ac:dyDescent="0.25">
      <c r="A27" s="141" t="str">
        <f t="shared" si="4"/>
        <v xml:space="preserve">Производство 1195 от 18.02.2026 </v>
      </c>
      <c r="B27" s="141"/>
      <c r="C27" s="22">
        <f t="shared" si="5"/>
        <v>208.01</v>
      </c>
      <c r="D27">
        <f t="shared" si="6"/>
        <v>35.881</v>
      </c>
      <c r="E27">
        <f t="shared" si="6"/>
        <v>37.636000000000003</v>
      </c>
      <c r="F27">
        <f t="shared" si="6"/>
        <v>61.872999999999998</v>
      </c>
      <c r="G27">
        <f t="shared" si="6"/>
        <v>8.4459999999999997</v>
      </c>
      <c r="H27">
        <f t="shared" si="6"/>
        <v>0</v>
      </c>
      <c r="I27">
        <f t="shared" si="6"/>
        <v>0</v>
      </c>
      <c r="J27">
        <f t="shared" si="6"/>
        <v>0</v>
      </c>
    </row>
    <row r="28" spans="1:10" x14ac:dyDescent="0.25">
      <c r="A28" s="141" t="str">
        <f t="shared" si="4"/>
        <v xml:space="preserve">Производство 1239 от 19.02.2026 </v>
      </c>
      <c r="B28" s="141"/>
      <c r="C28" s="22">
        <f t="shared" si="5"/>
        <v>139.62</v>
      </c>
      <c r="D28">
        <f t="shared" si="6"/>
        <v>24.084</v>
      </c>
      <c r="E28">
        <f t="shared" si="6"/>
        <v>25.262</v>
      </c>
      <c r="F28">
        <f t="shared" si="6"/>
        <v>41.53</v>
      </c>
      <c r="G28">
        <f t="shared" si="6"/>
        <v>5.6689999999999996</v>
      </c>
      <c r="H28">
        <f t="shared" si="6"/>
        <v>0</v>
      </c>
      <c r="I28">
        <f t="shared" si="6"/>
        <v>0</v>
      </c>
      <c r="J28">
        <f t="shared" si="6"/>
        <v>0</v>
      </c>
    </row>
    <row r="29" spans="1:10" hidden="1" x14ac:dyDescent="0.25">
      <c r="A29" s="141">
        <f t="shared" si="4"/>
        <v>0</v>
      </c>
      <c r="B29" s="141"/>
      <c r="C29" s="22">
        <f t="shared" si="5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</row>
    <row r="30" spans="1:10" hidden="1" x14ac:dyDescent="0.25">
      <c r="A30" s="141">
        <f t="shared" si="4"/>
        <v>0</v>
      </c>
      <c r="B30" s="141"/>
      <c r="C30" s="22">
        <f t="shared" si="5"/>
        <v>0</v>
      </c>
      <c r="D30">
        <f t="shared" si="6"/>
        <v>0</v>
      </c>
      <c r="E30">
        <f t="shared" si="6"/>
        <v>0</v>
      </c>
      <c r="F30">
        <f t="shared" si="6"/>
        <v>0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0</v>
      </c>
    </row>
    <row r="31" spans="1:10" hidden="1" x14ac:dyDescent="0.25">
      <c r="A31" s="141">
        <f t="shared" si="4"/>
        <v>0</v>
      </c>
      <c r="B31" s="141"/>
      <c r="C31" s="22">
        <f t="shared" si="5"/>
        <v>0</v>
      </c>
      <c r="D31">
        <f t="shared" si="6"/>
        <v>0</v>
      </c>
      <c r="E31">
        <f t="shared" si="6"/>
        <v>0</v>
      </c>
      <c r="F31">
        <f t="shared" si="6"/>
        <v>0</v>
      </c>
      <c r="G31">
        <f t="shared" si="6"/>
        <v>0</v>
      </c>
      <c r="H31">
        <f t="shared" si="6"/>
        <v>0</v>
      </c>
      <c r="I31">
        <f t="shared" si="6"/>
        <v>0</v>
      </c>
      <c r="J31">
        <f t="shared" si="6"/>
        <v>0</v>
      </c>
    </row>
    <row r="32" spans="1:10" hidden="1" x14ac:dyDescent="0.25">
      <c r="A32" s="141">
        <f t="shared" si="4"/>
        <v>0</v>
      </c>
      <c r="B32" s="141"/>
      <c r="C32" s="22">
        <f t="shared" si="5"/>
        <v>0</v>
      </c>
      <c r="D32">
        <f t="shared" si="6"/>
        <v>0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6"/>
        <v>0</v>
      </c>
      <c r="I32">
        <f t="shared" si="6"/>
        <v>0</v>
      </c>
      <c r="J32">
        <f t="shared" si="6"/>
        <v>0</v>
      </c>
    </row>
    <row r="33" spans="1:10" hidden="1" x14ac:dyDescent="0.25">
      <c r="A33" s="141">
        <f t="shared" si="4"/>
        <v>0</v>
      </c>
      <c r="B33" s="141"/>
      <c r="C33" s="22">
        <f t="shared" si="5"/>
        <v>0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0</v>
      </c>
      <c r="H33">
        <f t="shared" si="6"/>
        <v>0</v>
      </c>
      <c r="I33">
        <f t="shared" si="6"/>
        <v>0</v>
      </c>
      <c r="J33">
        <f t="shared" si="6"/>
        <v>0</v>
      </c>
    </row>
    <row r="34" spans="1:10" ht="0.75" customHeight="1" thickBot="1" x14ac:dyDescent="0.3">
      <c r="A34" s="141">
        <f t="shared" si="4"/>
        <v>0</v>
      </c>
      <c r="B34" s="141"/>
      <c r="C34" s="22">
        <f t="shared" si="5"/>
        <v>0</v>
      </c>
      <c r="D34">
        <f t="shared" si="6"/>
        <v>0</v>
      </c>
      <c r="E34">
        <f t="shared" si="6"/>
        <v>0</v>
      </c>
      <c r="F34">
        <f t="shared" si="6"/>
        <v>0</v>
      </c>
      <c r="G34">
        <f t="shared" si="6"/>
        <v>0</v>
      </c>
      <c r="H34">
        <f t="shared" si="6"/>
        <v>0</v>
      </c>
      <c r="I34">
        <f t="shared" si="6"/>
        <v>0</v>
      </c>
      <c r="J34">
        <f t="shared" si="6"/>
        <v>0</v>
      </c>
    </row>
    <row r="35" spans="1:10" ht="15" customHeight="1" x14ac:dyDescent="0.25">
      <c r="A35" s="137" t="s">
        <v>6</v>
      </c>
      <c r="B35" s="137"/>
      <c r="C35" s="12">
        <f>SUM(C22:C34)</f>
        <v>1622.98</v>
      </c>
      <c r="D35" s="2">
        <f>SUM(D22:D34)</f>
        <v>279.959</v>
      </c>
      <c r="E35" s="2">
        <f>SUM(E22:E34)</f>
        <v>293.65100000000001</v>
      </c>
      <c r="F35" s="2">
        <f t="shared" ref="F35:J35" si="7">SUM(F22:F34)</f>
        <v>482.75900000000001</v>
      </c>
      <c r="G35" s="2">
        <f t="shared" si="7"/>
        <v>65.900000000000006</v>
      </c>
      <c r="H35" s="2">
        <f t="shared" si="7"/>
        <v>0</v>
      </c>
      <c r="I35" s="2">
        <f t="shared" si="7"/>
        <v>0</v>
      </c>
      <c r="J35" s="2">
        <f t="shared" si="7"/>
        <v>0</v>
      </c>
    </row>
    <row r="38" spans="1:10" x14ac:dyDescent="0.25">
      <c r="D38" t="s">
        <v>107</v>
      </c>
      <c r="E38" t="s">
        <v>108</v>
      </c>
      <c r="F38" t="s">
        <v>109</v>
      </c>
    </row>
    <row r="39" spans="1:10" x14ac:dyDescent="0.25">
      <c r="C39" t="str">
        <f>D4</f>
        <v xml:space="preserve">150dne суровая </v>
      </c>
      <c r="D39" s="93">
        <f>(D18+G18)/C18</f>
        <v>0.21310182503789327</v>
      </c>
      <c r="E39" s="93">
        <v>0.19</v>
      </c>
      <c r="F39" s="29">
        <f>D39/E39-1</f>
        <v>0.12158855283101722</v>
      </c>
      <c r="G39" s="93"/>
      <c r="H39" s="93"/>
      <c r="I39" s="93"/>
      <c r="J39" s="93"/>
    </row>
    <row r="40" spans="1:10" x14ac:dyDescent="0.25">
      <c r="C40" t="str">
        <f>E4</f>
        <v>20 текс</v>
      </c>
      <c r="D40" s="93">
        <f>E18/C18</f>
        <v>0.18093260545416454</v>
      </c>
      <c r="E40" s="93">
        <v>0.18</v>
      </c>
      <c r="F40" s="29">
        <f t="shared" ref="F40:F42" si="8">D40/E40-1</f>
        <v>5.181141412025303E-3</v>
      </c>
    </row>
    <row r="41" spans="1:10" x14ac:dyDescent="0.25">
      <c r="C41" t="str">
        <f>F4</f>
        <v xml:space="preserve">900dne </v>
      </c>
      <c r="D41" s="93">
        <f>F18/C18</f>
        <v>0.2974528336763238</v>
      </c>
      <c r="E41" s="93">
        <v>0.27600000000000002</v>
      </c>
      <c r="F41" s="29">
        <f t="shared" si="8"/>
        <v>7.7727658247549902E-2</v>
      </c>
      <c r="G41" s="93"/>
      <c r="H41" s="93"/>
      <c r="I41" s="93"/>
      <c r="J41" s="93"/>
    </row>
    <row r="42" spans="1:10" x14ac:dyDescent="0.25">
      <c r="C42" t="str">
        <f>G4</f>
        <v xml:space="preserve">150dne суровая ТУРЦИЯ </v>
      </c>
      <c r="D42" s="93">
        <f>G18/C18</f>
        <v>4.0604320447571757E-2</v>
      </c>
      <c r="E42" s="93"/>
      <c r="F42" s="29" t="e">
        <f t="shared" si="8"/>
        <v>#DIV/0!</v>
      </c>
    </row>
    <row r="43" spans="1:10" x14ac:dyDescent="0.25">
      <c r="D43" s="93"/>
      <c r="E43" s="93"/>
      <c r="F43" s="50"/>
    </row>
    <row r="46" spans="1:10" x14ac:dyDescent="0.25">
      <c r="A46" s="138"/>
      <c r="B46" s="138"/>
      <c r="C46" s="138"/>
      <c r="D46" s="138"/>
      <c r="E46" s="138"/>
      <c r="F46" s="138"/>
      <c r="G46" s="138"/>
    </row>
  </sheetData>
  <mergeCells count="30">
    <mergeCell ref="A1:E1"/>
    <mergeCell ref="A5:B5"/>
    <mergeCell ref="A6:B6"/>
    <mergeCell ref="A7:B7"/>
    <mergeCell ref="A8:B8"/>
    <mergeCell ref="A33:B33"/>
    <mergeCell ref="A34:B34"/>
    <mergeCell ref="A35:B35"/>
    <mergeCell ref="A46:G46"/>
    <mergeCell ref="A25:B25"/>
    <mergeCell ref="A26:B26"/>
    <mergeCell ref="A27:B27"/>
    <mergeCell ref="A28:B28"/>
    <mergeCell ref="A29:B29"/>
    <mergeCell ref="A30:B30"/>
    <mergeCell ref="A9:B9"/>
    <mergeCell ref="A10:B10"/>
    <mergeCell ref="A11:B11"/>
    <mergeCell ref="A31:B31"/>
    <mergeCell ref="A32:B32"/>
    <mergeCell ref="A16:B16"/>
    <mergeCell ref="A17:B17"/>
    <mergeCell ref="A18:B18"/>
    <mergeCell ref="A22:B22"/>
    <mergeCell ref="A23:B23"/>
    <mergeCell ref="A24:B24"/>
    <mergeCell ref="A12:B12"/>
    <mergeCell ref="A13:B13"/>
    <mergeCell ref="A14:B14"/>
    <mergeCell ref="A15:B15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workbookViewId="0">
      <selection activeCell="M39" sqref="M39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6" customWidth="1"/>
    <col min="7" max="7" width="13.5703125" customWidth="1"/>
    <col min="8" max="8" width="9.140625" hidden="1" customWidth="1"/>
    <col min="9" max="10" width="10.5703125" hidden="1" customWidth="1"/>
    <col min="11" max="11" width="11.28515625" customWidth="1"/>
  </cols>
  <sheetData>
    <row r="1" spans="1:11" x14ac:dyDescent="0.25">
      <c r="A1" s="138" t="s">
        <v>501</v>
      </c>
      <c r="B1" s="138"/>
      <c r="C1" s="138"/>
      <c r="D1" s="138"/>
      <c r="E1" s="138"/>
      <c r="G1" s="88"/>
      <c r="K1" s="88">
        <v>46104</v>
      </c>
    </row>
    <row r="2" spans="1:11" x14ac:dyDescent="0.25">
      <c r="A2" s="37"/>
      <c r="B2" s="111"/>
      <c r="C2" s="111"/>
      <c r="D2" s="111"/>
      <c r="E2" s="111"/>
    </row>
    <row r="3" spans="1:11" x14ac:dyDescent="0.25">
      <c r="A3" s="37" t="s">
        <v>502</v>
      </c>
      <c r="D3" t="s">
        <v>221</v>
      </c>
      <c r="E3" s="89" t="s">
        <v>503</v>
      </c>
    </row>
    <row r="4" spans="1:11" ht="30" x14ac:dyDescent="0.25">
      <c r="D4" s="38" t="s">
        <v>7</v>
      </c>
      <c r="E4" s="113" t="s">
        <v>505</v>
      </c>
      <c r="F4" s="38" t="s">
        <v>143</v>
      </c>
      <c r="G4" s="38" t="s">
        <v>504</v>
      </c>
      <c r="H4" s="4"/>
      <c r="I4" s="4"/>
      <c r="J4" s="4"/>
    </row>
    <row r="5" spans="1:11" ht="15" customHeight="1" x14ac:dyDescent="0.25">
      <c r="A5" s="178" t="s">
        <v>506</v>
      </c>
      <c r="B5" s="178"/>
      <c r="C5" s="114">
        <v>230.75</v>
      </c>
      <c r="D5">
        <f t="shared" ref="D5:J17" si="0">$C5/$C$18*D$18</f>
        <v>54.95807309738607</v>
      </c>
      <c r="E5">
        <f t="shared" si="0"/>
        <v>20.747339810316909</v>
      </c>
      <c r="F5">
        <f t="shared" si="0"/>
        <v>22.545743696507053</v>
      </c>
      <c r="G5">
        <f t="shared" si="0"/>
        <v>62.726520934536204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1" ht="15" customHeight="1" x14ac:dyDescent="0.25">
      <c r="A6" s="178" t="s">
        <v>507</v>
      </c>
      <c r="B6" s="178"/>
      <c r="C6" s="114">
        <v>174.29</v>
      </c>
      <c r="D6">
        <f t="shared" si="0"/>
        <v>41.510910336482851</v>
      </c>
      <c r="E6">
        <f t="shared" si="0"/>
        <v>15.670872613391696</v>
      </c>
      <c r="F6">
        <f t="shared" si="0"/>
        <v>17.029242335272865</v>
      </c>
      <c r="G6">
        <f t="shared" si="0"/>
        <v>47.378571326891937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1" ht="15" customHeight="1" x14ac:dyDescent="0.25">
      <c r="A7" s="178" t="s">
        <v>508</v>
      </c>
      <c r="B7" s="178"/>
      <c r="C7" s="114">
        <v>235.81</v>
      </c>
      <c r="D7">
        <f t="shared" si="0"/>
        <v>56.163220875816293</v>
      </c>
      <c r="E7">
        <f t="shared" si="0"/>
        <v>21.202297727717575</v>
      </c>
      <c r="F7">
        <f t="shared" si="0"/>
        <v>23.040137902809654</v>
      </c>
      <c r="G7">
        <f t="shared" si="0"/>
        <v>64.102019075072505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1" ht="15" customHeight="1" x14ac:dyDescent="0.25">
      <c r="A8" s="178" t="s">
        <v>509</v>
      </c>
      <c r="B8" s="178"/>
      <c r="C8" s="114">
        <v>294.02999999999997</v>
      </c>
      <c r="D8">
        <f t="shared" si="0"/>
        <v>70.029565472695239</v>
      </c>
      <c r="E8">
        <f t="shared" si="0"/>
        <v>26.437011156782148</v>
      </c>
      <c r="F8">
        <f t="shared" si="0"/>
        <v>28.728602466236051</v>
      </c>
      <c r="G8">
        <f t="shared" si="0"/>
        <v>79.928402818555483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1" x14ac:dyDescent="0.25">
      <c r="A9" s="178" t="s">
        <v>510</v>
      </c>
      <c r="B9" s="178"/>
      <c r="C9" s="114">
        <v>163.15</v>
      </c>
      <c r="D9">
        <f t="shared" si="0"/>
        <v>38.857679851954657</v>
      </c>
      <c r="E9">
        <f t="shared" si="0"/>
        <v>14.669245894055056</v>
      </c>
      <c r="F9">
        <f t="shared" si="0"/>
        <v>15.940793430488087</v>
      </c>
      <c r="G9">
        <f t="shared" si="0"/>
        <v>44.350300717094612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1" ht="15.75" thickBot="1" x14ac:dyDescent="0.3">
      <c r="A10" s="178" t="s">
        <v>511</v>
      </c>
      <c r="B10" s="178"/>
      <c r="C10" s="114">
        <v>25.95</v>
      </c>
      <c r="D10">
        <f t="shared" si="0"/>
        <v>6.1805503656648693</v>
      </c>
      <c r="E10">
        <f t="shared" si="0"/>
        <v>2.3332327977366143</v>
      </c>
      <c r="F10">
        <f t="shared" si="0"/>
        <v>2.5354801686862753</v>
      </c>
      <c r="G10">
        <f t="shared" si="0"/>
        <v>7.0541851278492498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1" hidden="1" x14ac:dyDescent="0.25">
      <c r="A11" s="179"/>
      <c r="B11" s="179"/>
      <c r="C11" s="101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1" ht="15" hidden="1" customHeight="1" x14ac:dyDescent="0.25">
      <c r="A12" s="179"/>
      <c r="B12" s="179"/>
      <c r="C12" s="101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1" ht="15" hidden="1" customHeight="1" x14ac:dyDescent="0.25">
      <c r="A13" s="179"/>
      <c r="B13" s="179"/>
      <c r="C13" s="101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1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1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1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1123.98</v>
      </c>
      <c r="D18" s="2">
        <v>267.7</v>
      </c>
      <c r="E18" s="2">
        <v>101.06</v>
      </c>
      <c r="F18" s="2">
        <v>109.82</v>
      </c>
      <c r="G18" s="2">
        <v>305.54000000000002</v>
      </c>
      <c r="H18" s="2"/>
      <c r="I18" s="2"/>
      <c r="J18" s="2"/>
    </row>
    <row r="19" spans="1:10" x14ac:dyDescent="0.25">
      <c r="F19" s="91"/>
    </row>
    <row r="20" spans="1:10" x14ac:dyDescent="0.25">
      <c r="F20" s="91"/>
    </row>
    <row r="21" spans="1:10" s="47" customFormat="1" ht="27" customHeight="1" x14ac:dyDescent="0.25">
      <c r="D21" s="38" t="str">
        <f t="shared" ref="D21:F21" si="2">D4</f>
        <v>600dne</v>
      </c>
      <c r="E21" s="38" t="str">
        <f t="shared" si="2"/>
        <v>Нить 150D/48F №246grey Турция</v>
      </c>
      <c r="F21" s="38" t="str">
        <f t="shared" si="2"/>
        <v>150dne суровая</v>
      </c>
      <c r="G21" s="38" t="str">
        <f>G4</f>
        <v>Пряжа 25текс</v>
      </c>
      <c r="H21" s="48">
        <f t="shared" ref="H21:J21" si="3">H4</f>
        <v>0</v>
      </c>
      <c r="I21" s="48">
        <f t="shared" si="3"/>
        <v>0</v>
      </c>
      <c r="J21" s="48">
        <f t="shared" si="3"/>
        <v>0</v>
      </c>
    </row>
    <row r="22" spans="1:10" x14ac:dyDescent="0.25">
      <c r="A22" s="141" t="str">
        <f t="shared" ref="A22:A34" si="4">A5</f>
        <v xml:space="preserve">Производство 1753 от 12.03.2026 </v>
      </c>
      <c r="B22" s="141"/>
      <c r="C22" s="22">
        <f t="shared" ref="C22:C34" si="5">C5</f>
        <v>230.75</v>
      </c>
      <c r="D22">
        <f t="shared" ref="D22:J34" si="6">ROUND(D5,3)</f>
        <v>54.957999999999998</v>
      </c>
      <c r="E22">
        <f t="shared" si="6"/>
        <v>20.747</v>
      </c>
      <c r="F22">
        <f t="shared" si="6"/>
        <v>22.545999999999999</v>
      </c>
      <c r="G22">
        <f t="shared" si="6"/>
        <v>62.726999999999997</v>
      </c>
      <c r="H22">
        <f t="shared" si="6"/>
        <v>0</v>
      </c>
      <c r="I22">
        <f t="shared" si="6"/>
        <v>0</v>
      </c>
      <c r="J22">
        <f t="shared" si="6"/>
        <v>0</v>
      </c>
    </row>
    <row r="23" spans="1:10" x14ac:dyDescent="0.25">
      <c r="A23" s="141" t="str">
        <f t="shared" si="4"/>
        <v xml:space="preserve">Производство 1776 от 13.03.2026 </v>
      </c>
      <c r="B23" s="141"/>
      <c r="C23" s="22">
        <f t="shared" si="5"/>
        <v>174.29</v>
      </c>
      <c r="D23">
        <f t="shared" si="6"/>
        <v>41.511000000000003</v>
      </c>
      <c r="E23">
        <f t="shared" si="6"/>
        <v>15.670999999999999</v>
      </c>
      <c r="F23">
        <f t="shared" si="6"/>
        <v>17.029</v>
      </c>
      <c r="G23">
        <f t="shared" si="6"/>
        <v>47.378999999999998</v>
      </c>
      <c r="H23">
        <f t="shared" si="6"/>
        <v>0</v>
      </c>
      <c r="I23">
        <f t="shared" si="6"/>
        <v>0</v>
      </c>
      <c r="J23">
        <f t="shared" si="6"/>
        <v>0</v>
      </c>
    </row>
    <row r="24" spans="1:10" x14ac:dyDescent="0.25">
      <c r="A24" s="141" t="str">
        <f t="shared" si="4"/>
        <v xml:space="preserve">Производство 1819 от 16.03.2026 </v>
      </c>
      <c r="B24" s="141"/>
      <c r="C24" s="22">
        <f t="shared" si="5"/>
        <v>235.81</v>
      </c>
      <c r="D24">
        <f t="shared" si="6"/>
        <v>56.162999999999997</v>
      </c>
      <c r="E24">
        <f t="shared" si="6"/>
        <v>21.202000000000002</v>
      </c>
      <c r="F24">
        <f t="shared" si="6"/>
        <v>23.04</v>
      </c>
      <c r="G24">
        <f t="shared" si="6"/>
        <v>64.102000000000004</v>
      </c>
      <c r="H24">
        <f t="shared" si="6"/>
        <v>0</v>
      </c>
      <c r="I24">
        <f t="shared" si="6"/>
        <v>0</v>
      </c>
      <c r="J24">
        <f t="shared" si="6"/>
        <v>0</v>
      </c>
    </row>
    <row r="25" spans="1:10" x14ac:dyDescent="0.25">
      <c r="A25" s="141" t="str">
        <f t="shared" si="4"/>
        <v xml:space="preserve">Производство 1854 от 17.03.2026 </v>
      </c>
      <c r="B25" s="141"/>
      <c r="C25" s="22">
        <f t="shared" si="5"/>
        <v>294.02999999999997</v>
      </c>
      <c r="D25">
        <f t="shared" si="6"/>
        <v>70.03</v>
      </c>
      <c r="E25">
        <f t="shared" si="6"/>
        <v>26.437000000000001</v>
      </c>
      <c r="F25">
        <f t="shared" si="6"/>
        <v>28.728999999999999</v>
      </c>
      <c r="G25">
        <f t="shared" si="6"/>
        <v>79.927999999999997</v>
      </c>
      <c r="H25">
        <f t="shared" si="6"/>
        <v>0</v>
      </c>
      <c r="I25">
        <f t="shared" si="6"/>
        <v>0</v>
      </c>
      <c r="J25">
        <f t="shared" si="6"/>
        <v>0</v>
      </c>
    </row>
    <row r="26" spans="1:10" x14ac:dyDescent="0.25">
      <c r="A26" s="141" t="str">
        <f t="shared" si="4"/>
        <v xml:space="preserve">Производство 1860 от 18.03.2026 </v>
      </c>
      <c r="B26" s="141"/>
      <c r="C26" s="22">
        <f t="shared" si="5"/>
        <v>163.15</v>
      </c>
      <c r="D26">
        <f t="shared" si="6"/>
        <v>38.857999999999997</v>
      </c>
      <c r="E26">
        <f t="shared" si="6"/>
        <v>14.669</v>
      </c>
      <c r="F26">
        <f t="shared" si="6"/>
        <v>15.941000000000001</v>
      </c>
      <c r="G26">
        <f t="shared" si="6"/>
        <v>44.35</v>
      </c>
      <c r="H26">
        <f t="shared" si="6"/>
        <v>0</v>
      </c>
      <c r="I26">
        <f t="shared" si="6"/>
        <v>0</v>
      </c>
      <c r="J26">
        <f t="shared" si="6"/>
        <v>0</v>
      </c>
    </row>
    <row r="27" spans="1:10" ht="15.75" thickBot="1" x14ac:dyDescent="0.3">
      <c r="A27" s="141" t="str">
        <f t="shared" si="4"/>
        <v xml:space="preserve">Производство 1966 от 19.03.2026 </v>
      </c>
      <c r="B27" s="141"/>
      <c r="C27" s="22">
        <f t="shared" si="5"/>
        <v>25.95</v>
      </c>
      <c r="D27">
        <f t="shared" si="6"/>
        <v>6.181</v>
      </c>
      <c r="E27">
        <f t="shared" si="6"/>
        <v>2.3330000000000002</v>
      </c>
      <c r="F27">
        <f t="shared" si="6"/>
        <v>2.5350000000000001</v>
      </c>
      <c r="G27">
        <f t="shared" si="6"/>
        <v>7.0540000000000003</v>
      </c>
      <c r="H27">
        <f t="shared" si="6"/>
        <v>0</v>
      </c>
      <c r="I27">
        <f t="shared" si="6"/>
        <v>0</v>
      </c>
      <c r="J27">
        <f t="shared" si="6"/>
        <v>0</v>
      </c>
    </row>
    <row r="28" spans="1:10" hidden="1" x14ac:dyDescent="0.25">
      <c r="A28" s="141">
        <f t="shared" si="4"/>
        <v>0</v>
      </c>
      <c r="B28" s="141"/>
      <c r="C28" s="22">
        <f t="shared" si="5"/>
        <v>0</v>
      </c>
      <c r="D28">
        <f t="shared" si="6"/>
        <v>0</v>
      </c>
      <c r="E28">
        <f t="shared" si="6"/>
        <v>0</v>
      </c>
      <c r="F28">
        <f t="shared" si="6"/>
        <v>0</v>
      </c>
      <c r="G28">
        <f t="shared" si="6"/>
        <v>0</v>
      </c>
      <c r="H28">
        <f t="shared" si="6"/>
        <v>0</v>
      </c>
      <c r="I28">
        <f t="shared" si="6"/>
        <v>0</v>
      </c>
      <c r="J28">
        <f t="shared" si="6"/>
        <v>0</v>
      </c>
    </row>
    <row r="29" spans="1:10" hidden="1" x14ac:dyDescent="0.25">
      <c r="A29" s="141">
        <f t="shared" si="4"/>
        <v>0</v>
      </c>
      <c r="B29" s="141"/>
      <c r="C29" s="22">
        <f t="shared" si="5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</row>
    <row r="30" spans="1:10" hidden="1" x14ac:dyDescent="0.25">
      <c r="A30" s="141">
        <f t="shared" si="4"/>
        <v>0</v>
      </c>
      <c r="B30" s="141"/>
      <c r="C30" s="22">
        <f t="shared" si="5"/>
        <v>0</v>
      </c>
      <c r="D30">
        <f t="shared" si="6"/>
        <v>0</v>
      </c>
      <c r="E30">
        <f t="shared" si="6"/>
        <v>0</v>
      </c>
      <c r="F30">
        <f t="shared" si="6"/>
        <v>0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0</v>
      </c>
    </row>
    <row r="31" spans="1:10" hidden="1" x14ac:dyDescent="0.25">
      <c r="A31" s="141">
        <f t="shared" si="4"/>
        <v>0</v>
      </c>
      <c r="B31" s="141"/>
      <c r="C31" s="22">
        <f t="shared" si="5"/>
        <v>0</v>
      </c>
      <c r="D31">
        <f t="shared" si="6"/>
        <v>0</v>
      </c>
      <c r="E31">
        <f t="shared" si="6"/>
        <v>0</v>
      </c>
      <c r="F31">
        <f t="shared" si="6"/>
        <v>0</v>
      </c>
      <c r="G31">
        <f t="shared" si="6"/>
        <v>0</v>
      </c>
      <c r="H31">
        <f t="shared" si="6"/>
        <v>0</v>
      </c>
      <c r="I31">
        <f t="shared" si="6"/>
        <v>0</v>
      </c>
      <c r="J31">
        <f t="shared" si="6"/>
        <v>0</v>
      </c>
    </row>
    <row r="32" spans="1:10" hidden="1" x14ac:dyDescent="0.25">
      <c r="A32" s="141">
        <f t="shared" si="4"/>
        <v>0</v>
      </c>
      <c r="B32" s="141"/>
      <c r="C32" s="22">
        <f t="shared" si="5"/>
        <v>0</v>
      </c>
      <c r="D32">
        <f t="shared" si="6"/>
        <v>0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6"/>
        <v>0</v>
      </c>
      <c r="I32">
        <f t="shared" si="6"/>
        <v>0</v>
      </c>
      <c r="J32">
        <f t="shared" si="6"/>
        <v>0</v>
      </c>
    </row>
    <row r="33" spans="1:10" hidden="1" x14ac:dyDescent="0.25">
      <c r="A33" s="141">
        <f t="shared" si="4"/>
        <v>0</v>
      </c>
      <c r="B33" s="141"/>
      <c r="C33" s="22">
        <f t="shared" si="5"/>
        <v>0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0</v>
      </c>
      <c r="H33">
        <f t="shared" si="6"/>
        <v>0</v>
      </c>
      <c r="I33">
        <f t="shared" si="6"/>
        <v>0</v>
      </c>
      <c r="J33">
        <f t="shared" si="6"/>
        <v>0</v>
      </c>
    </row>
    <row r="34" spans="1:10" ht="15.75" hidden="1" thickBot="1" x14ac:dyDescent="0.3">
      <c r="A34" s="141">
        <f t="shared" si="4"/>
        <v>0</v>
      </c>
      <c r="B34" s="141"/>
      <c r="C34" s="22">
        <f t="shared" si="5"/>
        <v>0</v>
      </c>
      <c r="D34">
        <f t="shared" si="6"/>
        <v>0</v>
      </c>
      <c r="E34">
        <f t="shared" si="6"/>
        <v>0</v>
      </c>
      <c r="F34">
        <f t="shared" si="6"/>
        <v>0</v>
      </c>
      <c r="G34">
        <f t="shared" si="6"/>
        <v>0</v>
      </c>
      <c r="H34">
        <f t="shared" si="6"/>
        <v>0</v>
      </c>
      <c r="I34">
        <f t="shared" si="6"/>
        <v>0</v>
      </c>
      <c r="J34">
        <f t="shared" si="6"/>
        <v>0</v>
      </c>
    </row>
    <row r="35" spans="1:10" ht="15" customHeight="1" x14ac:dyDescent="0.25">
      <c r="A35" s="137" t="s">
        <v>6</v>
      </c>
      <c r="B35" s="137"/>
      <c r="C35" s="12">
        <f>SUM(C22:C34)</f>
        <v>1123.98</v>
      </c>
      <c r="D35" s="2">
        <f>SUM(D22:D34)</f>
        <v>267.70099999999996</v>
      </c>
      <c r="E35" s="2">
        <f>SUM(E22:E34)</f>
        <v>101.059</v>
      </c>
      <c r="F35" s="2">
        <f t="shared" ref="F35:J35" si="7">SUM(F22:F34)</f>
        <v>109.82</v>
      </c>
      <c r="G35" s="2">
        <f t="shared" si="7"/>
        <v>305.53999999999996</v>
      </c>
      <c r="H35" s="2">
        <f t="shared" si="7"/>
        <v>0</v>
      </c>
      <c r="I35" s="2">
        <f t="shared" si="7"/>
        <v>0</v>
      </c>
      <c r="J35" s="2">
        <f t="shared" si="7"/>
        <v>0</v>
      </c>
    </row>
    <row r="38" spans="1:10" x14ac:dyDescent="0.25">
      <c r="D38" t="s">
        <v>107</v>
      </c>
      <c r="E38" t="s">
        <v>108</v>
      </c>
      <c r="F38" t="s">
        <v>109</v>
      </c>
    </row>
    <row r="39" spans="1:10" x14ac:dyDescent="0.25">
      <c r="C39" t="str">
        <f>D4</f>
        <v>600dne</v>
      </c>
      <c r="D39" s="111">
        <f>D18/C18</f>
        <v>0.23817149771348242</v>
      </c>
      <c r="E39" s="111">
        <v>0.20499999999999999</v>
      </c>
      <c r="F39" s="29">
        <f>D39/E39-1</f>
        <v>0.16181218396820696</v>
      </c>
      <c r="G39" s="111"/>
      <c r="H39" s="111"/>
      <c r="I39" s="111"/>
      <c r="J39" s="111"/>
    </row>
    <row r="40" spans="1:10" x14ac:dyDescent="0.25">
      <c r="C40" t="str">
        <f>E4</f>
        <v>Нить 150D/48F №246grey Турция</v>
      </c>
      <c r="D40" s="111">
        <f>E18/C18</f>
        <v>8.9912631897364717E-2</v>
      </c>
      <c r="E40" s="111">
        <v>0.1</v>
      </c>
      <c r="F40" s="29">
        <f t="shared" ref="F40:F42" si="8">D40/E40-1</f>
        <v>-0.10087368102635286</v>
      </c>
    </row>
    <row r="41" spans="1:10" x14ac:dyDescent="0.25">
      <c r="C41" t="str">
        <f>F4</f>
        <v>150dne суровая</v>
      </c>
      <c r="D41" s="111">
        <f>F18/C18</f>
        <v>9.7706364881937388E-2</v>
      </c>
      <c r="E41" s="111">
        <v>0.10299999999999999</v>
      </c>
      <c r="F41" s="29">
        <f t="shared" si="8"/>
        <v>-5.1394515709345723E-2</v>
      </c>
      <c r="G41" s="111"/>
      <c r="H41" s="111"/>
      <c r="I41" s="111"/>
      <c r="J41" s="111"/>
    </row>
    <row r="42" spans="1:10" x14ac:dyDescent="0.25">
      <c r="C42" t="str">
        <f>G4</f>
        <v>Пряжа 25текс</v>
      </c>
      <c r="D42" s="111">
        <f>G18/C18</f>
        <v>0.27183757718108864</v>
      </c>
      <c r="E42" s="111">
        <v>0.24199999999999999</v>
      </c>
      <c r="F42" s="29">
        <f t="shared" si="8"/>
        <v>0.12329577347557286</v>
      </c>
    </row>
    <row r="43" spans="1:10" x14ac:dyDescent="0.25">
      <c r="D43" s="111"/>
      <c r="E43" s="111"/>
      <c r="F43" s="50"/>
    </row>
    <row r="46" spans="1:10" x14ac:dyDescent="0.25">
      <c r="A46" s="138"/>
      <c r="B46" s="138"/>
      <c r="C46" s="138"/>
      <c r="D46" s="138"/>
      <c r="E46" s="138"/>
      <c r="F46" s="138"/>
      <c r="G46" s="138"/>
    </row>
  </sheetData>
  <mergeCells count="30">
    <mergeCell ref="A9:B9"/>
    <mergeCell ref="A10:B10"/>
    <mergeCell ref="A31:B31"/>
    <mergeCell ref="A32:B32"/>
    <mergeCell ref="A33:B33"/>
    <mergeCell ref="A16:B16"/>
    <mergeCell ref="A17:B17"/>
    <mergeCell ref="A18:B18"/>
    <mergeCell ref="A22:B22"/>
    <mergeCell ref="A23:B23"/>
    <mergeCell ref="A24:B24"/>
    <mergeCell ref="A11:B11"/>
    <mergeCell ref="A12:B12"/>
    <mergeCell ref="A13:B13"/>
    <mergeCell ref="A14:B14"/>
    <mergeCell ref="A15:B15"/>
    <mergeCell ref="A34:B34"/>
    <mergeCell ref="A35:B35"/>
    <mergeCell ref="A46:G46"/>
    <mergeCell ref="A25:B25"/>
    <mergeCell ref="A26:B26"/>
    <mergeCell ref="A27:B27"/>
    <mergeCell ref="A28:B28"/>
    <mergeCell ref="A29:B29"/>
    <mergeCell ref="A30:B30"/>
    <mergeCell ref="A1:E1"/>
    <mergeCell ref="A5:B5"/>
    <mergeCell ref="A6:B6"/>
    <mergeCell ref="A7:B7"/>
    <mergeCell ref="A8:B8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workbookViewId="0">
      <selection activeCell="F44" sqref="F44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hidden="1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333</v>
      </c>
      <c r="B1" s="138"/>
      <c r="C1" s="138"/>
      <c r="D1" s="138"/>
      <c r="E1" s="138"/>
    </row>
    <row r="2" spans="1:10" x14ac:dyDescent="0.25">
      <c r="A2" s="37"/>
      <c r="B2" s="78"/>
      <c r="C2" s="78"/>
      <c r="D2" s="78"/>
      <c r="E2" s="66" t="s">
        <v>334</v>
      </c>
      <c r="F2" s="66" t="s">
        <v>335</v>
      </c>
    </row>
    <row r="3" spans="1:10" x14ac:dyDescent="0.25">
      <c r="A3" s="37" t="s">
        <v>206</v>
      </c>
      <c r="D3" t="s">
        <v>261</v>
      </c>
    </row>
    <row r="4" spans="1:10" x14ac:dyDescent="0.25">
      <c r="D4" s="38" t="s">
        <v>317</v>
      </c>
      <c r="E4" s="38" t="s">
        <v>44</v>
      </c>
      <c r="F4" s="38" t="s">
        <v>193</v>
      </c>
      <c r="G4" s="38"/>
      <c r="H4" s="4"/>
      <c r="I4" s="4"/>
      <c r="J4" s="4"/>
    </row>
    <row r="5" spans="1:10" ht="15" customHeight="1" x14ac:dyDescent="0.25">
      <c r="A5" s="180" t="s">
        <v>336</v>
      </c>
      <c r="B5" s="180"/>
      <c r="C5" s="81">
        <v>430.04</v>
      </c>
      <c r="D5">
        <f t="shared" ref="D5:J17" si="0">$C5/$C$18*D$18</f>
        <v>117.32827676684239</v>
      </c>
      <c r="E5">
        <f t="shared" si="0"/>
        <v>50.31638298389251</v>
      </c>
      <c r="F5">
        <f t="shared" si="0"/>
        <v>41.315642962998957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80" t="s">
        <v>337</v>
      </c>
      <c r="B6" s="180"/>
      <c r="C6" s="81">
        <v>343.49</v>
      </c>
      <c r="D6">
        <f t="shared" si="0"/>
        <v>93.714746969218425</v>
      </c>
      <c r="E6">
        <f t="shared" si="0"/>
        <v>40.189690240761884</v>
      </c>
      <c r="F6">
        <f t="shared" si="0"/>
        <v>33.00044228760234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80" t="s">
        <v>338</v>
      </c>
      <c r="B7" s="180"/>
      <c r="C7" s="81">
        <v>343.87</v>
      </c>
      <c r="D7">
        <f t="shared" si="0"/>
        <v>93.818422778844052</v>
      </c>
      <c r="E7">
        <f t="shared" si="0"/>
        <v>40.234151745584413</v>
      </c>
      <c r="F7">
        <f t="shared" si="0"/>
        <v>33.036950389932223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x14ac:dyDescent="0.25">
      <c r="A8" s="180" t="s">
        <v>339</v>
      </c>
      <c r="B8" s="180"/>
      <c r="C8" s="81">
        <v>344.83</v>
      </c>
      <c r="D8">
        <f t="shared" si="0"/>
        <v>94.08034061368771</v>
      </c>
      <c r="E8">
        <f t="shared" si="0"/>
        <v>40.346475547241312</v>
      </c>
      <c r="F8">
        <f t="shared" si="0"/>
        <v>33.129181385291901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.75" thickBot="1" x14ac:dyDescent="0.3">
      <c r="A9" s="180" t="s">
        <v>340</v>
      </c>
      <c r="B9" s="180"/>
      <c r="C9" s="81">
        <v>184.21</v>
      </c>
      <c r="D9">
        <f t="shared" si="0"/>
        <v>50.258212871407395</v>
      </c>
      <c r="E9">
        <f t="shared" si="0"/>
        <v>21.553299482519858</v>
      </c>
      <c r="F9">
        <f t="shared" si="0"/>
        <v>17.697782974174583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idden="1" x14ac:dyDescent="0.25">
      <c r="A10" s="166"/>
      <c r="B10" s="166"/>
      <c r="C10" s="70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idden="1" x14ac:dyDescent="0.25">
      <c r="A11" s="166"/>
      <c r="B11" s="166"/>
      <c r="C11" s="70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1646.44</v>
      </c>
      <c r="D18" s="2">
        <v>449.2</v>
      </c>
      <c r="E18" s="2">
        <v>192.64</v>
      </c>
      <c r="F18" s="80">
        <v>158.18</v>
      </c>
      <c r="G18" s="2"/>
      <c r="H18" s="2"/>
      <c r="I18" s="2"/>
      <c r="J18" s="2"/>
    </row>
    <row r="20" spans="1:10" s="47" customFormat="1" ht="27" customHeight="1" x14ac:dyDescent="0.25">
      <c r="D20" s="38" t="str">
        <f t="shared" ref="D20:F20" si="2">D4</f>
        <v xml:space="preserve">150D  суровая </v>
      </c>
      <c r="E20" s="38" t="str">
        <f t="shared" si="2"/>
        <v>300dne</v>
      </c>
      <c r="F20" s="38" t="str">
        <f t="shared" si="2"/>
        <v>трилобал 167</v>
      </c>
      <c r="G20" s="38">
        <f>G4</f>
        <v>0</v>
      </c>
      <c r="H20" s="48">
        <f t="shared" ref="H20:J20" si="3">H4</f>
        <v>0</v>
      </c>
      <c r="I20" s="48">
        <f t="shared" si="3"/>
        <v>0</v>
      </c>
      <c r="J20" s="48">
        <f t="shared" si="3"/>
        <v>0</v>
      </c>
    </row>
    <row r="21" spans="1:10" x14ac:dyDescent="0.25">
      <c r="A21" s="141" t="str">
        <f>A5</f>
        <v xml:space="preserve">Производство 523 от 28.01.2026 </v>
      </c>
      <c r="B21" s="141"/>
      <c r="C21" s="22">
        <f>C5</f>
        <v>430.04</v>
      </c>
      <c r="D21">
        <f>ROUND(D5,3)</f>
        <v>117.328</v>
      </c>
      <c r="E21">
        <f t="shared" ref="E21:J33" si="4">ROUND(E5,3)</f>
        <v>50.316000000000003</v>
      </c>
      <c r="F21">
        <f t="shared" si="4"/>
        <v>41.316000000000003</v>
      </c>
      <c r="G21">
        <f t="shared" si="4"/>
        <v>0</v>
      </c>
      <c r="H21">
        <f t="shared" si="4"/>
        <v>0</v>
      </c>
      <c r="I21">
        <f t="shared" si="4"/>
        <v>0</v>
      </c>
      <c r="J21">
        <f t="shared" si="4"/>
        <v>0</v>
      </c>
    </row>
    <row r="22" spans="1:10" x14ac:dyDescent="0.25">
      <c r="A22" s="141" t="str">
        <f t="shared" ref="A22:A33" si="5">A6</f>
        <v xml:space="preserve">Производство 629 от 29.01.2026 </v>
      </c>
      <c r="B22" s="141"/>
      <c r="C22" s="22">
        <f t="shared" ref="C22:C33" si="6">C6</f>
        <v>343.49</v>
      </c>
      <c r="D22">
        <f t="shared" ref="D22:G33" si="7">ROUND(D6,3)</f>
        <v>93.715000000000003</v>
      </c>
      <c r="E22">
        <f t="shared" si="7"/>
        <v>40.19</v>
      </c>
      <c r="F22">
        <f t="shared" si="7"/>
        <v>33</v>
      </c>
      <c r="G22">
        <f t="shared" si="7"/>
        <v>0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x14ac:dyDescent="0.25">
      <c r="A23" s="141" t="str">
        <f t="shared" si="5"/>
        <v xml:space="preserve">Производство 677 от 30.01.2026 </v>
      </c>
      <c r="B23" s="141"/>
      <c r="C23" s="22">
        <f t="shared" si="6"/>
        <v>343.87</v>
      </c>
      <c r="D23">
        <f t="shared" si="7"/>
        <v>93.817999999999998</v>
      </c>
      <c r="E23">
        <f t="shared" si="7"/>
        <v>40.234000000000002</v>
      </c>
      <c r="F23">
        <f t="shared" si="7"/>
        <v>33.036999999999999</v>
      </c>
      <c r="G23">
        <f t="shared" si="7"/>
        <v>0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x14ac:dyDescent="0.25">
      <c r="A24" s="141" t="str">
        <f t="shared" si="5"/>
        <v xml:space="preserve">Производство 711 от 02.02.2026 </v>
      </c>
      <c r="B24" s="141"/>
      <c r="C24" s="22">
        <f t="shared" si="6"/>
        <v>344.83</v>
      </c>
      <c r="D24">
        <f t="shared" si="7"/>
        <v>94.08</v>
      </c>
      <c r="E24">
        <f t="shared" si="7"/>
        <v>40.345999999999997</v>
      </c>
      <c r="F24">
        <f t="shared" si="7"/>
        <v>33.128999999999998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ht="15.75" thickBot="1" x14ac:dyDescent="0.3">
      <c r="A25" s="141" t="str">
        <f t="shared" si="5"/>
        <v xml:space="preserve">Производство 743 от 03.02.2026 </v>
      </c>
      <c r="B25" s="141"/>
      <c r="C25" s="22">
        <f t="shared" si="6"/>
        <v>184.21</v>
      </c>
      <c r="D25">
        <f t="shared" si="7"/>
        <v>50.258000000000003</v>
      </c>
      <c r="E25">
        <f t="shared" si="7"/>
        <v>21.553000000000001</v>
      </c>
      <c r="F25">
        <f t="shared" si="7"/>
        <v>17.698</v>
      </c>
      <c r="G25">
        <f t="shared" si="7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idden="1" x14ac:dyDescent="0.25">
      <c r="A26" s="141">
        <f t="shared" si="5"/>
        <v>0</v>
      </c>
      <c r="B26" s="141"/>
      <c r="C26" s="22">
        <f t="shared" si="6"/>
        <v>0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idden="1" x14ac:dyDescent="0.25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idden="1" x14ac:dyDescent="0.25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idden="1" x14ac:dyDescent="0.25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idden="1" x14ac:dyDescent="0.25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idden="1" x14ac:dyDescent="0.25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idden="1" x14ac:dyDescent="0.25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" customHeight="1" x14ac:dyDescent="0.25">
      <c r="A34" s="137" t="s">
        <v>6</v>
      </c>
      <c r="B34" s="137"/>
      <c r="C34" s="12">
        <f>SUM(C21:C33)</f>
        <v>1646.44</v>
      </c>
      <c r="D34" s="2">
        <f>SUM(D21:D33)</f>
        <v>449.19899999999996</v>
      </c>
      <c r="E34" s="2">
        <f>SUM(E21:E33)</f>
        <v>192.63900000000001</v>
      </c>
      <c r="F34" s="80">
        <f t="shared" ref="F34:J34" si="8">SUM(F21:F33)</f>
        <v>158.18</v>
      </c>
      <c r="G34" s="2">
        <f t="shared" si="8"/>
        <v>0</v>
      </c>
      <c r="H34" s="2">
        <f t="shared" si="8"/>
        <v>0</v>
      </c>
      <c r="I34" s="2">
        <f t="shared" si="8"/>
        <v>0</v>
      </c>
      <c r="J34" s="2">
        <f t="shared" si="8"/>
        <v>0</v>
      </c>
    </row>
    <row r="37" spans="1:10" x14ac:dyDescent="0.25">
      <c r="D37" t="s">
        <v>107</v>
      </c>
      <c r="E37" t="s">
        <v>108</v>
      </c>
      <c r="F37" t="s">
        <v>109</v>
      </c>
    </row>
    <row r="38" spans="1:10" x14ac:dyDescent="0.25">
      <c r="C38" t="str">
        <f>D4</f>
        <v xml:space="preserve">150D  суровая </v>
      </c>
      <c r="D38" s="78">
        <f>D18/C18</f>
        <v>0.27283107796214862</v>
      </c>
      <c r="E38" s="78">
        <v>0.21299999999999999</v>
      </c>
      <c r="F38" s="29">
        <f>D38/E38-1</f>
        <v>0.2808970796345005</v>
      </c>
      <c r="G38" s="78"/>
      <c r="H38" s="78"/>
      <c r="I38" s="78"/>
      <c r="J38" s="78"/>
    </row>
    <row r="39" spans="1:10" x14ac:dyDescent="0.25">
      <c r="C39" t="str">
        <f>E4</f>
        <v>300dne</v>
      </c>
      <c r="D39" s="78">
        <f>E18/C18</f>
        <v>0.1170039600592794</v>
      </c>
      <c r="E39" s="78">
        <v>0.104</v>
      </c>
      <c r="F39" s="29">
        <f t="shared" ref="F39:F41" si="9">D39/E39-1</f>
        <v>0.12503807749307128</v>
      </c>
    </row>
    <row r="40" spans="1:10" x14ac:dyDescent="0.25">
      <c r="C40" t="str">
        <f>F4</f>
        <v>трилобал 167</v>
      </c>
      <c r="D40" s="78">
        <f>F18/C18</f>
        <v>9.6073953499672016E-2</v>
      </c>
      <c r="E40" s="78">
        <v>8.5000000000000006E-2</v>
      </c>
      <c r="F40" s="29">
        <f t="shared" si="9"/>
        <v>0.13028180587849425</v>
      </c>
      <c r="G40" s="78"/>
      <c r="H40" s="78"/>
      <c r="I40" s="78"/>
      <c r="J40" s="78"/>
    </row>
    <row r="41" spans="1:10" hidden="1" x14ac:dyDescent="0.25">
      <c r="C41">
        <f>G4</f>
        <v>0</v>
      </c>
      <c r="D41" s="78">
        <f>G18/C18</f>
        <v>0</v>
      </c>
      <c r="E41" s="78">
        <v>0.188</v>
      </c>
      <c r="F41" s="29">
        <f t="shared" si="9"/>
        <v>-1</v>
      </c>
    </row>
    <row r="42" spans="1:10" x14ac:dyDescent="0.25">
      <c r="D42" s="78"/>
      <c r="E42" s="78"/>
      <c r="F42" s="50"/>
    </row>
    <row r="45" spans="1:10" x14ac:dyDescent="0.25">
      <c r="A45" s="138"/>
      <c r="B45" s="138"/>
      <c r="C45" s="138"/>
      <c r="D45" s="138"/>
      <c r="E45" s="138"/>
      <c r="F45" s="138"/>
      <c r="G45" s="138"/>
    </row>
  </sheetData>
  <mergeCells count="30">
    <mergeCell ref="A9:B9"/>
    <mergeCell ref="A1:E1"/>
    <mergeCell ref="A5:B5"/>
    <mergeCell ref="A6:B6"/>
    <mergeCell ref="A7:B7"/>
    <mergeCell ref="A8:B8"/>
    <mergeCell ref="A34:B34"/>
    <mergeCell ref="A45:G4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23:B23"/>
    <mergeCell ref="A10:B10"/>
    <mergeCell ref="A11:B11"/>
    <mergeCell ref="A12:B12"/>
    <mergeCell ref="A13:B13"/>
    <mergeCell ref="A14:B14"/>
    <mergeCell ref="A16:B16"/>
    <mergeCell ref="A17:B17"/>
    <mergeCell ref="A18:B18"/>
    <mergeCell ref="A21:B21"/>
    <mergeCell ref="A22:B22"/>
    <mergeCell ref="A15:B15"/>
  </mergeCells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opLeftCell="A19" workbookViewId="0">
      <selection activeCell="G22" sqref="G22:G26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392</v>
      </c>
      <c r="B1" s="138"/>
      <c r="C1" s="138"/>
      <c r="D1" s="138"/>
      <c r="E1" s="138"/>
    </row>
    <row r="2" spans="1:10" x14ac:dyDescent="0.25">
      <c r="A2" s="37" t="s">
        <v>393</v>
      </c>
      <c r="B2" s="92"/>
      <c r="C2" s="92"/>
      <c r="D2" s="92" t="s">
        <v>221</v>
      </c>
      <c r="E2" s="66" t="s">
        <v>394</v>
      </c>
      <c r="F2" s="66" t="s">
        <v>395</v>
      </c>
    </row>
    <row r="3" spans="1:10" x14ac:dyDescent="0.25">
      <c r="A3" s="37" t="s">
        <v>396</v>
      </c>
      <c r="D3" s="92" t="s">
        <v>327</v>
      </c>
      <c r="E3" s="66" t="s">
        <v>398</v>
      </c>
      <c r="F3" s="66" t="s">
        <v>397</v>
      </c>
    </row>
    <row r="4" spans="1:10" x14ac:dyDescent="0.25">
      <c r="A4" s="37"/>
    </row>
    <row r="5" spans="1:10" ht="45" x14ac:dyDescent="0.25">
      <c r="D5" s="38" t="s">
        <v>44</v>
      </c>
      <c r="E5" s="38" t="s">
        <v>317</v>
      </c>
      <c r="F5" s="38" t="s">
        <v>399</v>
      </c>
      <c r="G5" s="38" t="s">
        <v>400</v>
      </c>
      <c r="H5" s="4"/>
      <c r="I5" s="4"/>
      <c r="J5" s="4"/>
    </row>
    <row r="6" spans="1:10" ht="15" customHeight="1" x14ac:dyDescent="0.25">
      <c r="A6" s="181" t="s">
        <v>401</v>
      </c>
      <c r="B6" s="181"/>
      <c r="C6" s="94">
        <v>300.26</v>
      </c>
      <c r="D6">
        <f t="shared" ref="D6:J18" si="0">$C6/$C$19*D$19</f>
        <v>31.47506801181888</v>
      </c>
      <c r="E6">
        <f t="shared" si="0"/>
        <v>19.22499498673481</v>
      </c>
      <c r="F6">
        <f t="shared" si="0"/>
        <v>61.543429073388872</v>
      </c>
      <c r="G6">
        <f t="shared" si="0"/>
        <v>23.378510394761356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81" t="s">
        <v>402</v>
      </c>
      <c r="B7" s="181"/>
      <c r="C7" s="94">
        <v>241.04</v>
      </c>
      <c r="D7">
        <f t="shared" si="0"/>
        <v>25.267269678174994</v>
      </c>
      <c r="E7">
        <f t="shared" si="0"/>
        <v>15.433267140486773</v>
      </c>
      <c r="F7">
        <f t="shared" si="0"/>
        <v>49.405275907046075</v>
      </c>
      <c r="G7">
        <f t="shared" si="0"/>
        <v>18.767588575079191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x14ac:dyDescent="0.25">
      <c r="A8" s="181" t="s">
        <v>403</v>
      </c>
      <c r="B8" s="181"/>
      <c r="C8" s="94">
        <v>249.72</v>
      </c>
      <c r="D8">
        <f t="shared" si="0"/>
        <v>26.177159741262276</v>
      </c>
      <c r="E8">
        <f t="shared" si="0"/>
        <v>15.989028668778447</v>
      </c>
      <c r="F8">
        <f t="shared" si="0"/>
        <v>51.184390555540766</v>
      </c>
      <c r="G8">
        <f t="shared" si="0"/>
        <v>19.44342108765672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" customHeight="1" x14ac:dyDescent="0.25">
      <c r="A9" s="181" t="s">
        <v>404</v>
      </c>
      <c r="B9" s="181"/>
      <c r="C9" s="94">
        <v>162.5</v>
      </c>
      <c r="D9">
        <f t="shared" si="0"/>
        <v>17.034232171852956</v>
      </c>
      <c r="E9">
        <f t="shared" si="0"/>
        <v>10.404521699008882</v>
      </c>
      <c r="F9">
        <f t="shared" si="0"/>
        <v>33.307157877924773</v>
      </c>
      <c r="G9">
        <f t="shared" si="0"/>
        <v>12.652394388692205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x14ac:dyDescent="0.25">
      <c r="A10" s="181" t="s">
        <v>405</v>
      </c>
      <c r="B10" s="181"/>
      <c r="C10" s="94">
        <v>162</v>
      </c>
      <c r="D10">
        <f t="shared" si="0"/>
        <v>16.981819149785714</v>
      </c>
      <c r="E10">
        <f t="shared" si="0"/>
        <v>10.372507786088853</v>
      </c>
      <c r="F10">
        <f t="shared" si="0"/>
        <v>33.204674315223464</v>
      </c>
      <c r="G10">
        <f t="shared" si="0"/>
        <v>12.613463944419303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x14ac:dyDescent="0.25">
      <c r="A11" s="166"/>
      <c r="B11" s="166"/>
      <c r="C11" s="70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x14ac:dyDescent="0.25">
      <c r="A12" s="181" t="s">
        <v>406</v>
      </c>
      <c r="B12" s="181"/>
      <c r="C12" s="94">
        <v>11.49</v>
      </c>
      <c r="D12">
        <f t="shared" si="0"/>
        <v>1.204451247105172</v>
      </c>
      <c r="E12">
        <f t="shared" si="0"/>
        <v>0.73567971890222794</v>
      </c>
      <c r="F12">
        <f t="shared" si="0"/>
        <v>2.3550722708760348</v>
      </c>
      <c r="G12">
        <f t="shared" si="0"/>
        <v>0.89462160939122104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customHeight="1" thickBot="1" x14ac:dyDescent="0.3">
      <c r="A13" s="148"/>
      <c r="B13" s="148"/>
      <c r="C13" s="26"/>
      <c r="D13">
        <f>$C13/$C$19*D$19</f>
        <v>0</v>
      </c>
      <c r="E13">
        <f>$C13/$C$19*E$19</f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ref="D14:E18" si="1">$C14/$C$19*D$19</f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" hidden="1" customHeight="1" x14ac:dyDescent="0.25">
      <c r="A17" s="146"/>
      <c r="B17" s="146"/>
      <c r="C17" s="24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ht="15.75" hidden="1" customHeight="1" thickBot="1" x14ac:dyDescent="0.3">
      <c r="A18" s="141"/>
      <c r="B18" s="141"/>
      <c r="C18" s="11"/>
      <c r="D18">
        <f t="shared" si="1"/>
        <v>0</v>
      </c>
      <c r="E18">
        <f t="shared" si="1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</row>
    <row r="19" spans="1:10" x14ac:dyDescent="0.25">
      <c r="A19" s="137" t="s">
        <v>6</v>
      </c>
      <c r="B19" s="137"/>
      <c r="C19" s="12">
        <f>SUM(C6:C18)</f>
        <v>1127.01</v>
      </c>
      <c r="D19" s="2">
        <v>118.14</v>
      </c>
      <c r="E19" s="2">
        <v>72.16</v>
      </c>
      <c r="F19" s="80">
        <v>231</v>
      </c>
      <c r="G19" s="2">
        <v>87.75</v>
      </c>
      <c r="H19" s="2"/>
      <c r="I19" s="2"/>
      <c r="J19" s="2"/>
    </row>
    <row r="21" spans="1:10" s="47" customFormat="1" ht="27" customHeight="1" x14ac:dyDescent="0.25">
      <c r="D21" s="38" t="str">
        <f t="shared" ref="D21:F21" si="2">D5</f>
        <v>300dne</v>
      </c>
      <c r="E21" s="38" t="str">
        <f t="shared" si="2"/>
        <v xml:space="preserve">150D  суровая </v>
      </c>
      <c r="F21" s="38" t="str">
        <f t="shared" si="2"/>
        <v>19 текс</v>
      </c>
      <c r="G21" s="38" t="str">
        <f>G5</f>
        <v>Нить 150D/48F №269</v>
      </c>
      <c r="H21" s="48">
        <f t="shared" ref="H21:J21" si="3">H5</f>
        <v>0</v>
      </c>
      <c r="I21" s="48">
        <f t="shared" si="3"/>
        <v>0</v>
      </c>
      <c r="J21" s="48">
        <f t="shared" si="3"/>
        <v>0</v>
      </c>
    </row>
    <row r="22" spans="1:10" x14ac:dyDescent="0.25">
      <c r="A22" s="141" t="str">
        <f>A6</f>
        <v xml:space="preserve">Производство 918 от 10.02.2026 </v>
      </c>
      <c r="B22" s="141"/>
      <c r="C22" s="22">
        <f>C6</f>
        <v>300.26</v>
      </c>
      <c r="D22">
        <f>ROUND(D6,3)</f>
        <v>31.475000000000001</v>
      </c>
      <c r="E22">
        <f t="shared" ref="E22:J34" si="4">ROUND(E6,3)</f>
        <v>19.225000000000001</v>
      </c>
      <c r="F22">
        <f t="shared" si="4"/>
        <v>61.542999999999999</v>
      </c>
      <c r="G22">
        <f t="shared" si="4"/>
        <v>23.379000000000001</v>
      </c>
      <c r="H22">
        <f t="shared" si="4"/>
        <v>0</v>
      </c>
      <c r="I22">
        <f t="shared" si="4"/>
        <v>0</v>
      </c>
      <c r="J22">
        <f t="shared" si="4"/>
        <v>0</v>
      </c>
    </row>
    <row r="23" spans="1:10" x14ac:dyDescent="0.25">
      <c r="A23" s="141" t="str">
        <f t="shared" ref="A23:A34" si="5">A7</f>
        <v xml:space="preserve">Производство 981 от 11.02.2026 </v>
      </c>
      <c r="B23" s="141"/>
      <c r="C23" s="22">
        <f t="shared" ref="C23:C34" si="6">C7</f>
        <v>241.04</v>
      </c>
      <c r="D23">
        <f t="shared" ref="D23:G34" si="7">ROUND(D7,3)</f>
        <v>25.266999999999999</v>
      </c>
      <c r="E23">
        <f t="shared" si="7"/>
        <v>15.433</v>
      </c>
      <c r="F23">
        <f t="shared" si="7"/>
        <v>49.405000000000001</v>
      </c>
      <c r="G23">
        <f t="shared" si="7"/>
        <v>18.768000000000001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x14ac:dyDescent="0.25">
      <c r="A24" s="141" t="str">
        <f t="shared" si="5"/>
        <v xml:space="preserve">Производство 1014 от 12.02.2026 </v>
      </c>
      <c r="B24" s="141"/>
      <c r="C24" s="22">
        <f t="shared" si="6"/>
        <v>249.72</v>
      </c>
      <c r="D24">
        <f t="shared" si="7"/>
        <v>26.177</v>
      </c>
      <c r="E24">
        <f t="shared" si="7"/>
        <v>15.989000000000001</v>
      </c>
      <c r="F24">
        <f t="shared" si="7"/>
        <v>51.183999999999997</v>
      </c>
      <c r="G24">
        <f t="shared" si="7"/>
        <v>19.443000000000001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x14ac:dyDescent="0.25">
      <c r="A25" s="141" t="str">
        <f t="shared" si="5"/>
        <v xml:space="preserve">Производство 1045 от 13.02.2026 </v>
      </c>
      <c r="B25" s="141"/>
      <c r="C25" s="22">
        <f t="shared" si="6"/>
        <v>162.5</v>
      </c>
      <c r="D25">
        <f t="shared" si="7"/>
        <v>17.033999999999999</v>
      </c>
      <c r="E25">
        <f t="shared" si="7"/>
        <v>10.404999999999999</v>
      </c>
      <c r="F25">
        <f t="shared" si="7"/>
        <v>33.307000000000002</v>
      </c>
      <c r="G25">
        <f t="shared" si="7"/>
        <v>12.651999999999999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x14ac:dyDescent="0.25">
      <c r="A26" s="141" t="str">
        <f t="shared" si="5"/>
        <v xml:space="preserve">Производство 1071 от 16.02.2026 </v>
      </c>
      <c r="B26" s="141"/>
      <c r="C26" s="22">
        <f t="shared" si="6"/>
        <v>162</v>
      </c>
      <c r="D26">
        <f t="shared" si="7"/>
        <v>16.981999999999999</v>
      </c>
      <c r="E26">
        <f t="shared" si="7"/>
        <v>10.372999999999999</v>
      </c>
      <c r="F26">
        <f t="shared" si="7"/>
        <v>33.204999999999998</v>
      </c>
      <c r="G26">
        <f t="shared" si="7"/>
        <v>12.613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x14ac:dyDescent="0.25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x14ac:dyDescent="0.25">
      <c r="A28" s="141" t="str">
        <f t="shared" si="5"/>
        <v xml:space="preserve">Производство 864 от 09.02.2026 </v>
      </c>
      <c r="B28" s="141"/>
      <c r="C28" s="22">
        <f t="shared" si="6"/>
        <v>11.49</v>
      </c>
      <c r="D28">
        <f t="shared" si="7"/>
        <v>1.204</v>
      </c>
      <c r="E28">
        <f t="shared" si="7"/>
        <v>0.73599999999999999</v>
      </c>
      <c r="F28">
        <f t="shared" si="7"/>
        <v>2.355</v>
      </c>
      <c r="G28">
        <f t="shared" si="7"/>
        <v>0.89500000000000002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x14ac:dyDescent="0.25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t="15.75" thickBot="1" x14ac:dyDescent="0.3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idden="1" x14ac:dyDescent="0.25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idden="1" x14ac:dyDescent="0.25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idden="1" x14ac:dyDescent="0.25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.75" hidden="1" thickBot="1" x14ac:dyDescent="0.3">
      <c r="A34" s="141">
        <f t="shared" si="5"/>
        <v>0</v>
      </c>
      <c r="B34" s="141"/>
      <c r="C34" s="22">
        <f t="shared" si="6"/>
        <v>0</v>
      </c>
      <c r="D34">
        <f t="shared" si="7"/>
        <v>0</v>
      </c>
      <c r="E34">
        <f t="shared" si="7"/>
        <v>0</v>
      </c>
      <c r="F34">
        <f t="shared" si="7"/>
        <v>0</v>
      </c>
      <c r="G34">
        <f t="shared" si="7"/>
        <v>0</v>
      </c>
      <c r="H34">
        <f t="shared" si="4"/>
        <v>0</v>
      </c>
      <c r="I34">
        <f t="shared" si="4"/>
        <v>0</v>
      </c>
      <c r="J34">
        <f t="shared" si="4"/>
        <v>0</v>
      </c>
    </row>
    <row r="35" spans="1:10" ht="15" customHeight="1" x14ac:dyDescent="0.25">
      <c r="A35" s="137" t="s">
        <v>6</v>
      </c>
      <c r="B35" s="137"/>
      <c r="C35" s="12">
        <f>SUM(C22:C34)</f>
        <v>1127.01</v>
      </c>
      <c r="D35" s="2">
        <f>SUM(D22:D34)</f>
        <v>118.139</v>
      </c>
      <c r="E35" s="2">
        <f>SUM(E22:E34)</f>
        <v>72.161000000000016</v>
      </c>
      <c r="F35" s="80">
        <f t="shared" ref="F35:J35" si="8">SUM(F22:F34)</f>
        <v>230.999</v>
      </c>
      <c r="G35" s="2">
        <f t="shared" si="8"/>
        <v>87.75</v>
      </c>
      <c r="H35" s="2">
        <f t="shared" si="8"/>
        <v>0</v>
      </c>
      <c r="I35" s="2">
        <f t="shared" si="8"/>
        <v>0</v>
      </c>
      <c r="J35" s="2">
        <f t="shared" si="8"/>
        <v>0</v>
      </c>
    </row>
    <row r="38" spans="1:10" x14ac:dyDescent="0.25">
      <c r="D38" t="s">
        <v>107</v>
      </c>
      <c r="E38" t="s">
        <v>108</v>
      </c>
      <c r="F38" t="s">
        <v>109</v>
      </c>
    </row>
    <row r="39" spans="1:10" x14ac:dyDescent="0.25">
      <c r="C39" t="str">
        <f>D5</f>
        <v>300dne</v>
      </c>
      <c r="D39" s="92">
        <f>D19/C19</f>
        <v>0.10482604413447973</v>
      </c>
      <c r="E39" s="92">
        <v>0.14099999999999999</v>
      </c>
      <c r="F39" s="29">
        <f>D39/E39-1</f>
        <v>-0.2565528784788671</v>
      </c>
      <c r="G39" s="92"/>
      <c r="H39" s="92"/>
      <c r="I39" s="92"/>
      <c r="J39" s="92"/>
    </row>
    <row r="40" spans="1:10" x14ac:dyDescent="0.25">
      <c r="C40" t="str">
        <f>E5</f>
        <v xml:space="preserve">150D  суровая </v>
      </c>
      <c r="D40" s="92">
        <f>E19/C19</f>
        <v>6.4027825840054661E-2</v>
      </c>
      <c r="E40" s="92">
        <v>7.4999999999999997E-2</v>
      </c>
      <c r="F40" s="29">
        <f t="shared" ref="F40:F42" si="9">D40/E40-1</f>
        <v>-0.14629565546593781</v>
      </c>
    </row>
    <row r="41" spans="1:10" x14ac:dyDescent="0.25">
      <c r="C41" t="str">
        <f>F5</f>
        <v>19 текс</v>
      </c>
      <c r="D41" s="92">
        <f>F19/C19</f>
        <v>0.204967125402614</v>
      </c>
      <c r="E41" s="92">
        <v>0.186</v>
      </c>
      <c r="F41" s="29">
        <f t="shared" si="9"/>
        <v>0.10197379248717198</v>
      </c>
      <c r="G41" s="92"/>
      <c r="H41" s="92"/>
      <c r="I41" s="92"/>
      <c r="J41" s="92"/>
    </row>
    <row r="42" spans="1:10" x14ac:dyDescent="0.25">
      <c r="C42" t="str">
        <f>G5</f>
        <v>Нить 150D/48F №269</v>
      </c>
      <c r="D42" s="92">
        <f>G19/C19</f>
        <v>7.7860888545798174E-2</v>
      </c>
      <c r="E42" s="92">
        <v>8.5000000000000006E-2</v>
      </c>
      <c r="F42" s="29">
        <f t="shared" si="9"/>
        <v>-8.3989546520021552E-2</v>
      </c>
    </row>
    <row r="43" spans="1:10" x14ac:dyDescent="0.25">
      <c r="D43" s="92"/>
      <c r="E43" s="92"/>
      <c r="F43" s="50"/>
    </row>
    <row r="46" spans="1:10" x14ac:dyDescent="0.25">
      <c r="A46" s="138"/>
      <c r="B46" s="138"/>
      <c r="C46" s="138"/>
      <c r="D46" s="138"/>
      <c r="E46" s="138"/>
      <c r="F46" s="138"/>
      <c r="G46" s="138"/>
    </row>
  </sheetData>
  <mergeCells count="30">
    <mergeCell ref="A10:B10"/>
    <mergeCell ref="A12:B12"/>
    <mergeCell ref="A31:B31"/>
    <mergeCell ref="A32:B32"/>
    <mergeCell ref="A33:B33"/>
    <mergeCell ref="A17:B17"/>
    <mergeCell ref="A18:B18"/>
    <mergeCell ref="A19:B19"/>
    <mergeCell ref="A22:B22"/>
    <mergeCell ref="A23:B23"/>
    <mergeCell ref="A24:B24"/>
    <mergeCell ref="A11:B11"/>
    <mergeCell ref="A13:B13"/>
    <mergeCell ref="A14:B14"/>
    <mergeCell ref="A15:B15"/>
    <mergeCell ref="A16:B16"/>
    <mergeCell ref="A34:B34"/>
    <mergeCell ref="A35:B35"/>
    <mergeCell ref="A46:G46"/>
    <mergeCell ref="A25:B25"/>
    <mergeCell ref="A26:B26"/>
    <mergeCell ref="A27:B27"/>
    <mergeCell ref="A28:B28"/>
    <mergeCell ref="A29:B29"/>
    <mergeCell ref="A30:B30"/>
    <mergeCell ref="A1:E1"/>
    <mergeCell ref="A6:B6"/>
    <mergeCell ref="A7:B7"/>
    <mergeCell ref="A8:B8"/>
    <mergeCell ref="A9:B9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workbookViewId="0">
      <selection activeCell="F53" sqref="F53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7.28515625" hidden="1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324</v>
      </c>
      <c r="B1" s="138"/>
      <c r="C1" s="138"/>
      <c r="D1" s="138"/>
      <c r="E1" s="138"/>
    </row>
    <row r="2" spans="1:10" x14ac:dyDescent="0.25">
      <c r="A2" s="37"/>
      <c r="B2" s="77"/>
      <c r="C2" s="77"/>
      <c r="D2" s="77"/>
      <c r="E2" s="79"/>
      <c r="F2" s="79"/>
    </row>
    <row r="3" spans="1:10" x14ac:dyDescent="0.25">
      <c r="A3" s="37" t="s">
        <v>325</v>
      </c>
      <c r="D3" t="s">
        <v>327</v>
      </c>
      <c r="E3" t="s">
        <v>329</v>
      </c>
    </row>
    <row r="4" spans="1:10" x14ac:dyDescent="0.25">
      <c r="A4" s="37" t="s">
        <v>326</v>
      </c>
      <c r="D4" t="s">
        <v>327</v>
      </c>
      <c r="E4" t="s">
        <v>328</v>
      </c>
    </row>
    <row r="5" spans="1:10" x14ac:dyDescent="0.25">
      <c r="A5" s="37"/>
    </row>
    <row r="6" spans="1:10" ht="30" x14ac:dyDescent="0.25">
      <c r="D6" s="38" t="s">
        <v>134</v>
      </c>
      <c r="E6" s="38" t="s">
        <v>317</v>
      </c>
      <c r="F6" s="38" t="s">
        <v>330</v>
      </c>
      <c r="G6" s="38"/>
      <c r="H6" s="4"/>
      <c r="I6" s="4"/>
      <c r="J6" s="4"/>
    </row>
    <row r="7" spans="1:10" ht="15" customHeight="1" x14ac:dyDescent="0.25">
      <c r="A7" s="182" t="s">
        <v>332</v>
      </c>
      <c r="B7" s="182"/>
      <c r="C7" s="75">
        <v>14.27</v>
      </c>
      <c r="D7">
        <f t="shared" ref="D7:J19" si="0">$C7/$C$20*D$20</f>
        <v>5.7960925990880394</v>
      </c>
      <c r="E7">
        <f t="shared" si="0"/>
        <v>8.3587863907400912</v>
      </c>
      <c r="F7">
        <f t="shared" si="0"/>
        <v>0.51053665380568225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thickBot="1" x14ac:dyDescent="0.3">
      <c r="A8" s="182" t="s">
        <v>331</v>
      </c>
      <c r="B8" s="182"/>
      <c r="C8" s="75">
        <v>14.24</v>
      </c>
      <c r="D8">
        <f t="shared" si="0"/>
        <v>5.7839074009119607</v>
      </c>
      <c r="E8">
        <f t="shared" si="0"/>
        <v>8.3412136092599081</v>
      </c>
      <c r="F8">
        <f t="shared" si="0"/>
        <v>0.50946334619431777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" hidden="1" customHeight="1" thickBot="1" x14ac:dyDescent="0.3">
      <c r="A9" s="175"/>
      <c r="B9" s="175"/>
      <c r="C9" s="75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t="15" hidden="1" customHeight="1" x14ac:dyDescent="0.25">
      <c r="A10" s="166"/>
      <c r="B10" s="166"/>
      <c r="C10" s="70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hidden="1" thickBot="1" x14ac:dyDescent="0.3">
      <c r="A11" s="166"/>
      <c r="B11" s="166"/>
      <c r="C11" s="70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.75" hidden="1" thickBot="1" x14ac:dyDescent="0.3">
      <c r="A12" s="166"/>
      <c r="B12" s="166"/>
      <c r="C12" s="70"/>
      <c r="D12">
        <f t="shared" si="0"/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.75" hidden="1" thickBot="1" x14ac:dyDescent="0.3">
      <c r="A13" s="166"/>
      <c r="B13" s="166"/>
      <c r="C13" s="70"/>
      <c r="D13">
        <f t="shared" si="0"/>
        <v>0</v>
      </c>
      <c r="E13">
        <f t="shared" si="0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8"/>
      <c r="B14" s="148"/>
      <c r="C14" s="26"/>
      <c r="D14">
        <f>$C14/$C$20*D$20</f>
        <v>0</v>
      </c>
      <c r="E14">
        <f>$C14/$C$20*E$20</f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ref="D15:E19" si="1">$C15/$C$20*D$20</f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" hidden="1" customHeight="1" x14ac:dyDescent="0.25">
      <c r="A17" s="146"/>
      <c r="B17" s="146"/>
      <c r="C17" s="24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ht="15" hidden="1" customHeight="1" x14ac:dyDescent="0.25">
      <c r="A18" s="146"/>
      <c r="B18" s="146"/>
      <c r="C18" s="24"/>
      <c r="D18">
        <f t="shared" si="1"/>
        <v>0</v>
      </c>
      <c r="E18">
        <f t="shared" si="1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</row>
    <row r="19" spans="1:10" ht="15.75" hidden="1" customHeight="1" thickBot="1" x14ac:dyDescent="0.3">
      <c r="A19" s="141"/>
      <c r="B19" s="141"/>
      <c r="C19" s="11"/>
      <c r="D19">
        <f t="shared" si="1"/>
        <v>0</v>
      </c>
      <c r="E19">
        <f t="shared" si="1"/>
        <v>0</v>
      </c>
      <c r="F19">
        <f t="shared" si="0"/>
        <v>0</v>
      </c>
      <c r="G19">
        <f t="shared" si="0"/>
        <v>0</v>
      </c>
      <c r="H19">
        <f t="shared" si="0"/>
        <v>0</v>
      </c>
      <c r="I19">
        <f t="shared" si="0"/>
        <v>0</v>
      </c>
      <c r="J19">
        <f t="shared" si="0"/>
        <v>0</v>
      </c>
    </row>
    <row r="20" spans="1:10" x14ac:dyDescent="0.25">
      <c r="A20" s="137" t="s">
        <v>6</v>
      </c>
      <c r="B20" s="137"/>
      <c r="C20" s="12">
        <f>SUM(C7:C19)</f>
        <v>28.509999999999998</v>
      </c>
      <c r="D20" s="2">
        <v>11.58</v>
      </c>
      <c r="E20" s="2">
        <v>16.7</v>
      </c>
      <c r="F20" s="80">
        <v>1.02</v>
      </c>
      <c r="G20" s="2"/>
      <c r="H20" s="2"/>
      <c r="I20" s="2"/>
      <c r="J20" s="2"/>
    </row>
    <row r="22" spans="1:10" s="47" customFormat="1" ht="27" customHeight="1" x14ac:dyDescent="0.25">
      <c r="D22" s="38" t="str">
        <f t="shared" ref="D22:F22" si="2">D6</f>
        <v>900dne Турция</v>
      </c>
      <c r="E22" s="38" t="str">
        <f t="shared" si="2"/>
        <v xml:space="preserve">150D  суровая </v>
      </c>
      <c r="F22" s="38" t="str">
        <f t="shared" si="2"/>
        <v>нить 75/20 эластан бел</v>
      </c>
      <c r="G22" s="38">
        <f>G6</f>
        <v>0</v>
      </c>
      <c r="H22" s="48">
        <f t="shared" ref="H22:J22" si="3">H6</f>
        <v>0</v>
      </c>
      <c r="I22" s="48">
        <f t="shared" si="3"/>
        <v>0</v>
      </c>
      <c r="J22" s="48">
        <f t="shared" si="3"/>
        <v>0</v>
      </c>
    </row>
    <row r="23" spans="1:10" x14ac:dyDescent="0.25">
      <c r="A23" s="141" t="str">
        <f>A7</f>
        <v xml:space="preserve">Производство 562 от 28.01.2026 </v>
      </c>
      <c r="B23" s="141"/>
      <c r="C23" s="22">
        <f>C7</f>
        <v>14.27</v>
      </c>
      <c r="D23">
        <f>ROUND(D7,3)</f>
        <v>5.7960000000000003</v>
      </c>
      <c r="E23">
        <f t="shared" ref="E23:J35" si="4">ROUND(E7,3)</f>
        <v>8.359</v>
      </c>
      <c r="F23">
        <f t="shared" si="4"/>
        <v>0.51100000000000001</v>
      </c>
      <c r="G23">
        <f t="shared" si="4"/>
        <v>0</v>
      </c>
      <c r="H23">
        <f t="shared" si="4"/>
        <v>0</v>
      </c>
      <c r="I23">
        <f t="shared" si="4"/>
        <v>0</v>
      </c>
      <c r="J23">
        <f t="shared" si="4"/>
        <v>0</v>
      </c>
    </row>
    <row r="24" spans="1:10" ht="15.75" thickBot="1" x14ac:dyDescent="0.3">
      <c r="A24" s="141" t="str">
        <f t="shared" ref="A24:A35" si="5">A8</f>
        <v xml:space="preserve">Производство 620 от 29.01.2026 </v>
      </c>
      <c r="B24" s="141"/>
      <c r="C24" s="22">
        <f t="shared" ref="C24:C35" si="6">C8</f>
        <v>14.24</v>
      </c>
      <c r="D24">
        <f t="shared" ref="D24:G35" si="7">ROUND(D8,3)</f>
        <v>5.7839999999999998</v>
      </c>
      <c r="E24">
        <f t="shared" si="7"/>
        <v>8.3409999999999993</v>
      </c>
      <c r="F24">
        <f t="shared" si="7"/>
        <v>0.50900000000000001</v>
      </c>
      <c r="G24">
        <f t="shared" si="7"/>
        <v>0</v>
      </c>
      <c r="H24">
        <f t="shared" si="4"/>
        <v>0</v>
      </c>
      <c r="I24">
        <f t="shared" si="4"/>
        <v>0</v>
      </c>
      <c r="J24">
        <f t="shared" si="4"/>
        <v>0</v>
      </c>
    </row>
    <row r="25" spans="1:10" ht="15.75" hidden="1" thickBot="1" x14ac:dyDescent="0.3">
      <c r="A25" s="141">
        <f t="shared" si="5"/>
        <v>0</v>
      </c>
      <c r="B25" s="141"/>
      <c r="C25" s="22">
        <f t="shared" si="6"/>
        <v>0</v>
      </c>
      <c r="D25">
        <f t="shared" si="7"/>
        <v>0</v>
      </c>
      <c r="E25">
        <f t="shared" si="7"/>
        <v>0</v>
      </c>
      <c r="F25">
        <f t="shared" si="7"/>
        <v>0</v>
      </c>
      <c r="G25">
        <f t="shared" si="7"/>
        <v>0</v>
      </c>
      <c r="H25">
        <f t="shared" si="4"/>
        <v>0</v>
      </c>
      <c r="I25">
        <f t="shared" si="4"/>
        <v>0</v>
      </c>
      <c r="J25">
        <f t="shared" si="4"/>
        <v>0</v>
      </c>
    </row>
    <row r="26" spans="1:10" ht="15.75" hidden="1" thickBot="1" x14ac:dyDescent="0.3">
      <c r="A26" s="141">
        <f t="shared" si="5"/>
        <v>0</v>
      </c>
      <c r="B26" s="141"/>
      <c r="C26" s="22">
        <f t="shared" si="6"/>
        <v>0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4"/>
        <v>0</v>
      </c>
      <c r="I26">
        <f t="shared" si="4"/>
        <v>0</v>
      </c>
      <c r="J26">
        <f t="shared" si="4"/>
        <v>0</v>
      </c>
    </row>
    <row r="27" spans="1:10" ht="15.75" hidden="1" thickBot="1" x14ac:dyDescent="0.3">
      <c r="A27" s="141">
        <f t="shared" si="5"/>
        <v>0</v>
      </c>
      <c r="B27" s="141"/>
      <c r="C27" s="22">
        <f t="shared" si="6"/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4"/>
        <v>0</v>
      </c>
      <c r="I27">
        <f t="shared" si="4"/>
        <v>0</v>
      </c>
      <c r="J27">
        <f t="shared" si="4"/>
        <v>0</v>
      </c>
    </row>
    <row r="28" spans="1:10" ht="15.75" hidden="1" thickBot="1" x14ac:dyDescent="0.3">
      <c r="A28" s="141">
        <f t="shared" si="5"/>
        <v>0</v>
      </c>
      <c r="B28" s="141"/>
      <c r="C28" s="22">
        <f t="shared" si="6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4"/>
        <v>0</v>
      </c>
      <c r="I28">
        <f t="shared" si="4"/>
        <v>0</v>
      </c>
      <c r="J28">
        <f t="shared" si="4"/>
        <v>0</v>
      </c>
    </row>
    <row r="29" spans="1:10" ht="15.75" hidden="1" thickBot="1" x14ac:dyDescent="0.3">
      <c r="A29" s="141">
        <f t="shared" si="5"/>
        <v>0</v>
      </c>
      <c r="B29" s="141"/>
      <c r="C29" s="22">
        <f t="shared" si="6"/>
        <v>0</v>
      </c>
      <c r="D29">
        <f t="shared" si="7"/>
        <v>0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4"/>
        <v>0</v>
      </c>
      <c r="I29">
        <f t="shared" si="4"/>
        <v>0</v>
      </c>
      <c r="J29">
        <f t="shared" si="4"/>
        <v>0</v>
      </c>
    </row>
    <row r="30" spans="1:10" ht="15.75" hidden="1" thickBot="1" x14ac:dyDescent="0.3">
      <c r="A30" s="141">
        <f t="shared" si="5"/>
        <v>0</v>
      </c>
      <c r="B30" s="141"/>
      <c r="C30" s="22">
        <f t="shared" si="6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4"/>
        <v>0</v>
      </c>
      <c r="I30">
        <f t="shared" si="4"/>
        <v>0</v>
      </c>
      <c r="J30">
        <f t="shared" si="4"/>
        <v>0</v>
      </c>
    </row>
    <row r="31" spans="1:10" ht="15.75" hidden="1" thickBot="1" x14ac:dyDescent="0.3">
      <c r="A31" s="141">
        <f t="shared" si="5"/>
        <v>0</v>
      </c>
      <c r="B31" s="141"/>
      <c r="C31" s="22">
        <f t="shared" si="6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4"/>
        <v>0</v>
      </c>
      <c r="I31">
        <f t="shared" si="4"/>
        <v>0</v>
      </c>
      <c r="J31">
        <f t="shared" si="4"/>
        <v>0</v>
      </c>
    </row>
    <row r="32" spans="1:10" ht="15.75" hidden="1" thickBot="1" x14ac:dyDescent="0.3">
      <c r="A32" s="141">
        <f t="shared" si="5"/>
        <v>0</v>
      </c>
      <c r="B32" s="141"/>
      <c r="C32" s="22">
        <f t="shared" si="6"/>
        <v>0</v>
      </c>
      <c r="D32">
        <f t="shared" si="7"/>
        <v>0</v>
      </c>
      <c r="E32">
        <f t="shared" si="7"/>
        <v>0</v>
      </c>
      <c r="F32">
        <f t="shared" si="7"/>
        <v>0</v>
      </c>
      <c r="G32">
        <f t="shared" si="7"/>
        <v>0</v>
      </c>
      <c r="H32">
        <f t="shared" si="4"/>
        <v>0</v>
      </c>
      <c r="I32">
        <f t="shared" si="4"/>
        <v>0</v>
      </c>
      <c r="J32">
        <f t="shared" si="4"/>
        <v>0</v>
      </c>
    </row>
    <row r="33" spans="1:10" ht="15.75" hidden="1" thickBot="1" x14ac:dyDescent="0.3">
      <c r="A33" s="141">
        <f t="shared" si="5"/>
        <v>0</v>
      </c>
      <c r="B33" s="141"/>
      <c r="C33" s="22">
        <f t="shared" si="6"/>
        <v>0</v>
      </c>
      <c r="D33">
        <f t="shared" si="7"/>
        <v>0</v>
      </c>
      <c r="E33">
        <f t="shared" si="7"/>
        <v>0</v>
      </c>
      <c r="F33">
        <f t="shared" si="7"/>
        <v>0</v>
      </c>
      <c r="G33">
        <f t="shared" si="7"/>
        <v>0</v>
      </c>
      <c r="H33">
        <f t="shared" si="4"/>
        <v>0</v>
      </c>
      <c r="I33">
        <f t="shared" si="4"/>
        <v>0</v>
      </c>
      <c r="J33">
        <f t="shared" si="4"/>
        <v>0</v>
      </c>
    </row>
    <row r="34" spans="1:10" ht="15.75" hidden="1" thickBot="1" x14ac:dyDescent="0.3">
      <c r="A34" s="141">
        <f t="shared" si="5"/>
        <v>0</v>
      </c>
      <c r="B34" s="141"/>
      <c r="C34" s="22">
        <f t="shared" si="6"/>
        <v>0</v>
      </c>
      <c r="D34">
        <f t="shared" si="7"/>
        <v>0</v>
      </c>
      <c r="E34">
        <f t="shared" si="7"/>
        <v>0</v>
      </c>
      <c r="F34">
        <f t="shared" si="7"/>
        <v>0</v>
      </c>
      <c r="G34">
        <f t="shared" si="7"/>
        <v>0</v>
      </c>
      <c r="H34">
        <f t="shared" si="4"/>
        <v>0</v>
      </c>
      <c r="I34">
        <f t="shared" si="4"/>
        <v>0</v>
      </c>
      <c r="J34">
        <f t="shared" si="4"/>
        <v>0</v>
      </c>
    </row>
    <row r="35" spans="1:10" ht="15.75" hidden="1" thickBot="1" x14ac:dyDescent="0.3">
      <c r="A35" s="141">
        <f t="shared" si="5"/>
        <v>0</v>
      </c>
      <c r="B35" s="141"/>
      <c r="C35" s="22">
        <f t="shared" si="6"/>
        <v>0</v>
      </c>
      <c r="D35">
        <f t="shared" si="7"/>
        <v>0</v>
      </c>
      <c r="E35">
        <f t="shared" si="7"/>
        <v>0</v>
      </c>
      <c r="F35">
        <f t="shared" si="7"/>
        <v>0</v>
      </c>
      <c r="G35">
        <f t="shared" si="7"/>
        <v>0</v>
      </c>
      <c r="H35">
        <f t="shared" si="4"/>
        <v>0</v>
      </c>
      <c r="I35">
        <f t="shared" si="4"/>
        <v>0</v>
      </c>
      <c r="J35">
        <f t="shared" si="4"/>
        <v>0</v>
      </c>
    </row>
    <row r="36" spans="1:10" ht="15" customHeight="1" x14ac:dyDescent="0.25">
      <c r="A36" s="137" t="s">
        <v>6</v>
      </c>
      <c r="B36" s="137"/>
      <c r="C36" s="12">
        <f>SUM(C23:C35)</f>
        <v>28.509999999999998</v>
      </c>
      <c r="D36" s="2">
        <f>SUM(D23:D35)</f>
        <v>11.58</v>
      </c>
      <c r="E36" s="2">
        <f>SUM(E23:E35)</f>
        <v>16.7</v>
      </c>
      <c r="F36" s="80">
        <f t="shared" ref="F36:J36" si="8">SUM(F23:F35)</f>
        <v>1.02</v>
      </c>
      <c r="G36" s="2">
        <f t="shared" si="8"/>
        <v>0</v>
      </c>
      <c r="H36" s="2">
        <f t="shared" si="8"/>
        <v>0</v>
      </c>
      <c r="I36" s="2">
        <f t="shared" si="8"/>
        <v>0</v>
      </c>
      <c r="J36" s="2">
        <f t="shared" si="8"/>
        <v>0</v>
      </c>
    </row>
    <row r="38" spans="1:10" hidden="1" x14ac:dyDescent="0.25"/>
    <row r="39" spans="1:10" hidden="1" x14ac:dyDescent="0.25">
      <c r="D39" t="s">
        <v>107</v>
      </c>
      <c r="E39" t="s">
        <v>108</v>
      </c>
      <c r="F39" t="s">
        <v>109</v>
      </c>
    </row>
    <row r="40" spans="1:10" hidden="1" x14ac:dyDescent="0.25">
      <c r="C40" t="str">
        <f>D6</f>
        <v>900dne Турция</v>
      </c>
      <c r="D40" s="77">
        <f>D20/C20</f>
        <v>0.40617327253595231</v>
      </c>
      <c r="E40" s="77">
        <v>0.105</v>
      </c>
      <c r="F40" s="29">
        <f>D40/E40-1</f>
        <v>2.8683168812947839</v>
      </c>
      <c r="G40" s="77"/>
      <c r="H40" s="77"/>
      <c r="I40" s="77"/>
      <c r="J40" s="77"/>
    </row>
    <row r="41" spans="1:10" hidden="1" x14ac:dyDescent="0.25">
      <c r="C41" t="str">
        <f>E6</f>
        <v xml:space="preserve">150D  суровая </v>
      </c>
      <c r="D41" s="77">
        <f>E20/C20</f>
        <v>0.58575938267274641</v>
      </c>
      <c r="E41" s="77">
        <v>0.16600000000000001</v>
      </c>
      <c r="F41" s="29">
        <f t="shared" ref="F41:F43" si="9">D41/E41-1</f>
        <v>2.5286709799563036</v>
      </c>
    </row>
    <row r="42" spans="1:10" hidden="1" x14ac:dyDescent="0.25">
      <c r="C42" t="str">
        <f>F6</f>
        <v>нить 75/20 эластан бел</v>
      </c>
      <c r="D42" s="77">
        <f>F20/C20</f>
        <v>3.5776920378814456E-2</v>
      </c>
      <c r="E42" s="77">
        <v>9.4E-2</v>
      </c>
      <c r="F42" s="29">
        <f t="shared" si="9"/>
        <v>-0.61939446405516541</v>
      </c>
      <c r="G42" s="77"/>
      <c r="H42" s="77"/>
      <c r="I42" s="77"/>
      <c r="J42" s="77"/>
    </row>
    <row r="43" spans="1:10" hidden="1" x14ac:dyDescent="0.25">
      <c r="C43">
        <f>G6</f>
        <v>0</v>
      </c>
      <c r="D43" s="77">
        <f>G20/C20</f>
        <v>0</v>
      </c>
      <c r="E43" s="77">
        <v>0.188</v>
      </c>
      <c r="F43" s="29">
        <f t="shared" si="9"/>
        <v>-1</v>
      </c>
    </row>
    <row r="44" spans="1:10" hidden="1" x14ac:dyDescent="0.25">
      <c r="D44" s="77"/>
      <c r="E44" s="77"/>
      <c r="F44" s="50"/>
    </row>
    <row r="47" spans="1:10" x14ac:dyDescent="0.25">
      <c r="A47" s="138"/>
      <c r="B47" s="138"/>
      <c r="C47" s="138"/>
      <c r="D47" s="138"/>
      <c r="E47" s="138"/>
      <c r="F47" s="138"/>
      <c r="G47" s="138"/>
    </row>
  </sheetData>
  <mergeCells count="30">
    <mergeCell ref="A47:G47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25:B25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3:B23"/>
    <mergeCell ref="A24:B24"/>
    <mergeCell ref="A1:E1"/>
    <mergeCell ref="A8:B8"/>
    <mergeCell ref="A9:B9"/>
    <mergeCell ref="A10:B10"/>
    <mergeCell ref="A11:B11"/>
    <mergeCell ref="A7:B7"/>
  </mergeCells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workbookViewId="0">
      <selection activeCell="F39" sqref="F39:F42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368</v>
      </c>
      <c r="B1" s="138"/>
      <c r="C1" s="138"/>
      <c r="D1" s="138"/>
      <c r="E1" s="138"/>
      <c r="G1" s="88">
        <v>46065</v>
      </c>
    </row>
    <row r="2" spans="1:10" x14ac:dyDescent="0.25">
      <c r="A2" s="37"/>
      <c r="B2" s="84"/>
      <c r="C2" s="84"/>
      <c r="D2" s="84"/>
      <c r="E2" s="84"/>
    </row>
    <row r="3" spans="1:10" x14ac:dyDescent="0.25">
      <c r="A3" s="37" t="s">
        <v>223</v>
      </c>
      <c r="D3" t="s">
        <v>191</v>
      </c>
      <c r="E3" s="89" t="s">
        <v>374</v>
      </c>
    </row>
    <row r="4" spans="1:10" ht="45" x14ac:dyDescent="0.25">
      <c r="D4" s="38" t="s">
        <v>369</v>
      </c>
      <c r="E4" s="38" t="s">
        <v>44</v>
      </c>
      <c r="F4" s="38" t="s">
        <v>370</v>
      </c>
      <c r="G4" s="38" t="s">
        <v>215</v>
      </c>
      <c r="H4" s="4"/>
      <c r="I4" s="4"/>
      <c r="J4" s="4"/>
    </row>
    <row r="5" spans="1:10" ht="15" customHeight="1" x14ac:dyDescent="0.25">
      <c r="A5" s="183" t="s">
        <v>371</v>
      </c>
      <c r="B5" s="183"/>
      <c r="C5" s="87">
        <v>73.260000000000005</v>
      </c>
      <c r="D5">
        <f t="shared" ref="D5:J17" si="0">$C5/$C$18*D$18</f>
        <v>18.117884130982372</v>
      </c>
      <c r="E5">
        <f t="shared" si="0"/>
        <v>5.7011974423561336</v>
      </c>
      <c r="F5">
        <f t="shared" si="0"/>
        <v>6.8793760899050591</v>
      </c>
      <c r="G5">
        <f t="shared" si="0"/>
        <v>6.2715752761092824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83" t="s">
        <v>372</v>
      </c>
      <c r="B6" s="183"/>
      <c r="C6" s="87">
        <v>300.27999999999997</v>
      </c>
      <c r="D6">
        <f t="shared" si="0"/>
        <v>74.262056331577753</v>
      </c>
      <c r="E6">
        <f t="shared" si="0"/>
        <v>23.368216871289921</v>
      </c>
      <c r="F6">
        <f t="shared" si="0"/>
        <v>28.197366260943088</v>
      </c>
      <c r="G6">
        <f t="shared" si="0"/>
        <v>25.706096422469219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thickBot="1" x14ac:dyDescent="0.3">
      <c r="A7" s="183" t="s">
        <v>373</v>
      </c>
      <c r="B7" s="183"/>
      <c r="C7" s="87">
        <v>194.17</v>
      </c>
      <c r="D7">
        <f t="shared" si="0"/>
        <v>48.020059537439899</v>
      </c>
      <c r="E7">
        <f t="shared" si="0"/>
        <v>15.11058568635395</v>
      </c>
      <c r="F7">
        <f t="shared" si="0"/>
        <v>18.233257649151859</v>
      </c>
      <c r="G7">
        <f t="shared" si="0"/>
        <v>16.622328301421504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hidden="1" customHeight="1" x14ac:dyDescent="0.3">
      <c r="A8" s="166"/>
      <c r="B8" s="166"/>
      <c r="C8" s="70"/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.75" hidden="1" thickBot="1" x14ac:dyDescent="0.3">
      <c r="A9" s="166"/>
      <c r="B9" s="166"/>
      <c r="C9" s="70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t="15.75" hidden="1" thickBot="1" x14ac:dyDescent="0.3">
      <c r="A10" s="166"/>
      <c r="B10" s="166"/>
      <c r="C10" s="70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hidden="1" thickBot="1" x14ac:dyDescent="0.3">
      <c r="A11" s="166"/>
      <c r="B11" s="166"/>
      <c r="C11" s="70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567.70999999999992</v>
      </c>
      <c r="D18" s="2">
        <v>140.4</v>
      </c>
      <c r="E18" s="2">
        <v>44.18</v>
      </c>
      <c r="F18" s="2">
        <v>53.31</v>
      </c>
      <c r="G18" s="2">
        <v>48.6</v>
      </c>
      <c r="H18" s="2"/>
      <c r="I18" s="2"/>
      <c r="J18" s="2"/>
    </row>
    <row r="19" spans="1:10" x14ac:dyDescent="0.25">
      <c r="F19" s="91" t="s">
        <v>391</v>
      </c>
    </row>
    <row r="20" spans="1:10" x14ac:dyDescent="0.25">
      <c r="F20" s="91"/>
    </row>
    <row r="21" spans="1:10" s="47" customFormat="1" ht="27" customHeight="1" x14ac:dyDescent="0.25">
      <c r="D21" s="38" t="str">
        <f t="shared" ref="D21:F21" si="2">D4</f>
        <v>меланж 25текс 40/1</v>
      </c>
      <c r="E21" s="38" t="str">
        <f t="shared" si="2"/>
        <v>300dne</v>
      </c>
      <c r="F21" s="38" t="str">
        <f t="shared" si="2"/>
        <v>нить 150D/48F №149</v>
      </c>
      <c r="G21" s="38" t="str">
        <f>G4</f>
        <v xml:space="preserve">150dne суровая </v>
      </c>
      <c r="H21" s="48">
        <f t="shared" ref="H21:J21" si="3">H4</f>
        <v>0</v>
      </c>
      <c r="I21" s="48">
        <f t="shared" si="3"/>
        <v>0</v>
      </c>
      <c r="J21" s="48">
        <f t="shared" si="3"/>
        <v>0</v>
      </c>
    </row>
    <row r="22" spans="1:10" x14ac:dyDescent="0.25">
      <c r="A22" s="141" t="str">
        <f t="shared" ref="A22:A34" si="4">A5</f>
        <v xml:space="preserve">Производство 865 от 09.02.2026 </v>
      </c>
      <c r="B22" s="141"/>
      <c r="C22" s="22">
        <f t="shared" ref="C22:C34" si="5">C5</f>
        <v>73.260000000000005</v>
      </c>
      <c r="D22">
        <f t="shared" ref="D22:J34" si="6">ROUND(D5,3)</f>
        <v>18.117999999999999</v>
      </c>
      <c r="E22">
        <f t="shared" si="6"/>
        <v>5.7009999999999996</v>
      </c>
      <c r="F22">
        <f t="shared" si="6"/>
        <v>6.8789999999999996</v>
      </c>
      <c r="G22">
        <f t="shared" si="6"/>
        <v>6.2720000000000002</v>
      </c>
      <c r="H22">
        <f t="shared" si="6"/>
        <v>0</v>
      </c>
      <c r="I22">
        <f t="shared" si="6"/>
        <v>0</v>
      </c>
      <c r="J22">
        <f t="shared" si="6"/>
        <v>0</v>
      </c>
    </row>
    <row r="23" spans="1:10" x14ac:dyDescent="0.25">
      <c r="A23" s="141" t="str">
        <f t="shared" si="4"/>
        <v xml:space="preserve">Производство 878 от 10.02.2026 </v>
      </c>
      <c r="B23" s="141"/>
      <c r="C23" s="22">
        <f t="shared" si="5"/>
        <v>300.27999999999997</v>
      </c>
      <c r="D23">
        <f t="shared" si="6"/>
        <v>74.262</v>
      </c>
      <c r="E23">
        <f t="shared" si="6"/>
        <v>23.367999999999999</v>
      </c>
      <c r="F23">
        <f t="shared" si="6"/>
        <v>28.196999999999999</v>
      </c>
      <c r="G23">
        <f t="shared" si="6"/>
        <v>25.706</v>
      </c>
      <c r="H23">
        <f t="shared" si="6"/>
        <v>0</v>
      </c>
      <c r="I23">
        <f t="shared" si="6"/>
        <v>0</v>
      </c>
      <c r="J23">
        <f t="shared" si="6"/>
        <v>0</v>
      </c>
    </row>
    <row r="24" spans="1:10" ht="15.75" thickBot="1" x14ac:dyDescent="0.3">
      <c r="A24" s="141" t="str">
        <f t="shared" si="4"/>
        <v xml:space="preserve">Производство 962 от 11.02.2026 </v>
      </c>
      <c r="B24" s="141"/>
      <c r="C24" s="22">
        <f t="shared" si="5"/>
        <v>194.17</v>
      </c>
      <c r="D24">
        <f t="shared" si="6"/>
        <v>48.02</v>
      </c>
      <c r="E24">
        <f t="shared" si="6"/>
        <v>15.111000000000001</v>
      </c>
      <c r="F24">
        <f t="shared" si="6"/>
        <v>18.233000000000001</v>
      </c>
      <c r="G24">
        <f t="shared" si="6"/>
        <v>16.622</v>
      </c>
      <c r="H24">
        <f t="shared" si="6"/>
        <v>0</v>
      </c>
      <c r="I24">
        <f t="shared" si="6"/>
        <v>0</v>
      </c>
      <c r="J24">
        <f t="shared" si="6"/>
        <v>0</v>
      </c>
    </row>
    <row r="25" spans="1:10" ht="15.75" hidden="1" thickBot="1" x14ac:dyDescent="0.3">
      <c r="A25" s="141">
        <f t="shared" si="4"/>
        <v>0</v>
      </c>
      <c r="B25" s="141"/>
      <c r="C25" s="22">
        <f t="shared" si="5"/>
        <v>0</v>
      </c>
      <c r="D25">
        <f t="shared" si="6"/>
        <v>0</v>
      </c>
      <c r="E25">
        <f t="shared" si="6"/>
        <v>0</v>
      </c>
      <c r="F25">
        <f t="shared" si="6"/>
        <v>0</v>
      </c>
      <c r="G25">
        <f t="shared" si="6"/>
        <v>0</v>
      </c>
      <c r="H25">
        <f t="shared" si="6"/>
        <v>0</v>
      </c>
      <c r="I25">
        <f t="shared" si="6"/>
        <v>0</v>
      </c>
      <c r="J25">
        <f t="shared" si="6"/>
        <v>0</v>
      </c>
    </row>
    <row r="26" spans="1:10" ht="15.75" hidden="1" thickBot="1" x14ac:dyDescent="0.3">
      <c r="A26" s="141">
        <f t="shared" si="4"/>
        <v>0</v>
      </c>
      <c r="B26" s="141"/>
      <c r="C26" s="22">
        <f t="shared" si="5"/>
        <v>0</v>
      </c>
      <c r="D26">
        <f t="shared" si="6"/>
        <v>0</v>
      </c>
      <c r="E26">
        <f t="shared" si="6"/>
        <v>0</v>
      </c>
      <c r="F26">
        <f t="shared" si="6"/>
        <v>0</v>
      </c>
      <c r="G26">
        <f t="shared" si="6"/>
        <v>0</v>
      </c>
      <c r="H26">
        <f t="shared" si="6"/>
        <v>0</v>
      </c>
      <c r="I26">
        <f t="shared" si="6"/>
        <v>0</v>
      </c>
      <c r="J26">
        <f t="shared" si="6"/>
        <v>0</v>
      </c>
    </row>
    <row r="27" spans="1:10" ht="15.75" hidden="1" thickBot="1" x14ac:dyDescent="0.3">
      <c r="A27" s="141">
        <f t="shared" si="4"/>
        <v>0</v>
      </c>
      <c r="B27" s="141"/>
      <c r="C27" s="22">
        <f t="shared" si="5"/>
        <v>0</v>
      </c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0</v>
      </c>
      <c r="H27">
        <f t="shared" si="6"/>
        <v>0</v>
      </c>
      <c r="I27">
        <f t="shared" si="6"/>
        <v>0</v>
      </c>
      <c r="J27">
        <f t="shared" si="6"/>
        <v>0</v>
      </c>
    </row>
    <row r="28" spans="1:10" ht="15.75" hidden="1" thickBot="1" x14ac:dyDescent="0.3">
      <c r="A28" s="141">
        <f t="shared" si="4"/>
        <v>0</v>
      </c>
      <c r="B28" s="141"/>
      <c r="C28" s="22">
        <f t="shared" si="5"/>
        <v>0</v>
      </c>
      <c r="D28">
        <f t="shared" si="6"/>
        <v>0</v>
      </c>
      <c r="E28">
        <f t="shared" si="6"/>
        <v>0</v>
      </c>
      <c r="F28">
        <f t="shared" si="6"/>
        <v>0</v>
      </c>
      <c r="G28">
        <f t="shared" si="6"/>
        <v>0</v>
      </c>
      <c r="H28">
        <f t="shared" si="6"/>
        <v>0</v>
      </c>
      <c r="I28">
        <f t="shared" si="6"/>
        <v>0</v>
      </c>
      <c r="J28">
        <f t="shared" si="6"/>
        <v>0</v>
      </c>
    </row>
    <row r="29" spans="1:10" ht="15.75" hidden="1" thickBot="1" x14ac:dyDescent="0.3">
      <c r="A29" s="141">
        <f t="shared" si="4"/>
        <v>0</v>
      </c>
      <c r="B29" s="141"/>
      <c r="C29" s="22">
        <f t="shared" si="5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</row>
    <row r="30" spans="1:10" ht="15.75" hidden="1" thickBot="1" x14ac:dyDescent="0.3">
      <c r="A30" s="141">
        <f t="shared" si="4"/>
        <v>0</v>
      </c>
      <c r="B30" s="141"/>
      <c r="C30" s="22">
        <f t="shared" si="5"/>
        <v>0</v>
      </c>
      <c r="D30">
        <f t="shared" si="6"/>
        <v>0</v>
      </c>
      <c r="E30">
        <f t="shared" si="6"/>
        <v>0</v>
      </c>
      <c r="F30">
        <f t="shared" si="6"/>
        <v>0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0</v>
      </c>
    </row>
    <row r="31" spans="1:10" ht="15.75" hidden="1" thickBot="1" x14ac:dyDescent="0.3">
      <c r="A31" s="141">
        <f t="shared" si="4"/>
        <v>0</v>
      </c>
      <c r="B31" s="141"/>
      <c r="C31" s="22">
        <f t="shared" si="5"/>
        <v>0</v>
      </c>
      <c r="D31">
        <f t="shared" si="6"/>
        <v>0</v>
      </c>
      <c r="E31">
        <f t="shared" si="6"/>
        <v>0</v>
      </c>
      <c r="F31">
        <f t="shared" si="6"/>
        <v>0</v>
      </c>
      <c r="G31">
        <f t="shared" si="6"/>
        <v>0</v>
      </c>
      <c r="H31">
        <f t="shared" si="6"/>
        <v>0</v>
      </c>
      <c r="I31">
        <f t="shared" si="6"/>
        <v>0</v>
      </c>
      <c r="J31">
        <f t="shared" si="6"/>
        <v>0</v>
      </c>
    </row>
    <row r="32" spans="1:10" ht="15.75" hidden="1" thickBot="1" x14ac:dyDescent="0.3">
      <c r="A32" s="141">
        <f t="shared" si="4"/>
        <v>0</v>
      </c>
      <c r="B32" s="141"/>
      <c r="C32" s="22">
        <f t="shared" si="5"/>
        <v>0</v>
      </c>
      <c r="D32">
        <f t="shared" si="6"/>
        <v>0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6"/>
        <v>0</v>
      </c>
      <c r="I32">
        <f t="shared" si="6"/>
        <v>0</v>
      </c>
      <c r="J32">
        <f t="shared" si="6"/>
        <v>0</v>
      </c>
    </row>
    <row r="33" spans="1:10" ht="15.75" hidden="1" thickBot="1" x14ac:dyDescent="0.3">
      <c r="A33" s="141">
        <f t="shared" si="4"/>
        <v>0</v>
      </c>
      <c r="B33" s="141"/>
      <c r="C33" s="22">
        <f t="shared" si="5"/>
        <v>0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0</v>
      </c>
      <c r="H33">
        <f t="shared" si="6"/>
        <v>0</v>
      </c>
      <c r="I33">
        <f t="shared" si="6"/>
        <v>0</v>
      </c>
      <c r="J33">
        <f t="shared" si="6"/>
        <v>0</v>
      </c>
    </row>
    <row r="34" spans="1:10" ht="15.75" hidden="1" thickBot="1" x14ac:dyDescent="0.3">
      <c r="A34" s="141">
        <f t="shared" si="4"/>
        <v>0</v>
      </c>
      <c r="B34" s="141"/>
      <c r="C34" s="22">
        <f t="shared" si="5"/>
        <v>0</v>
      </c>
      <c r="D34">
        <f t="shared" si="6"/>
        <v>0</v>
      </c>
      <c r="E34">
        <f t="shared" si="6"/>
        <v>0</v>
      </c>
      <c r="F34">
        <f t="shared" si="6"/>
        <v>0</v>
      </c>
      <c r="G34">
        <f t="shared" si="6"/>
        <v>0</v>
      </c>
      <c r="H34">
        <f t="shared" si="6"/>
        <v>0</v>
      </c>
      <c r="I34">
        <f t="shared" si="6"/>
        <v>0</v>
      </c>
      <c r="J34">
        <f t="shared" si="6"/>
        <v>0</v>
      </c>
    </row>
    <row r="35" spans="1:10" ht="15" customHeight="1" x14ac:dyDescent="0.25">
      <c r="A35" s="137" t="s">
        <v>6</v>
      </c>
      <c r="B35" s="137"/>
      <c r="C35" s="12">
        <f>SUM(C22:C34)</f>
        <v>567.70999999999992</v>
      </c>
      <c r="D35" s="2">
        <f>SUM(D22:D34)</f>
        <v>140.4</v>
      </c>
      <c r="E35" s="2">
        <f>SUM(E22:E34)</f>
        <v>44.18</v>
      </c>
      <c r="F35" s="2">
        <f t="shared" ref="F35:J35" si="7">SUM(F22:F34)</f>
        <v>53.308999999999997</v>
      </c>
      <c r="G35" s="2">
        <f t="shared" si="7"/>
        <v>48.6</v>
      </c>
      <c r="H35" s="2">
        <f t="shared" si="7"/>
        <v>0</v>
      </c>
      <c r="I35" s="2">
        <f t="shared" si="7"/>
        <v>0</v>
      </c>
      <c r="J35" s="2">
        <f t="shared" si="7"/>
        <v>0</v>
      </c>
    </row>
    <row r="38" spans="1:10" x14ac:dyDescent="0.25">
      <c r="D38" t="s">
        <v>107</v>
      </c>
      <c r="E38" t="s">
        <v>108</v>
      </c>
      <c r="F38" t="s">
        <v>109</v>
      </c>
    </row>
    <row r="39" spans="1:10" x14ac:dyDescent="0.25">
      <c r="C39" t="str">
        <f>D4</f>
        <v>меланж 25текс 40/1</v>
      </c>
      <c r="D39" s="84">
        <f>D18/C18</f>
        <v>0.24730936569727507</v>
      </c>
      <c r="E39" s="84">
        <v>0.245</v>
      </c>
      <c r="F39" s="29">
        <f>D39/E39-1</f>
        <v>9.4259824378575274E-3</v>
      </c>
      <c r="G39" s="84"/>
      <c r="H39" s="84"/>
      <c r="I39" s="84"/>
      <c r="J39" s="84"/>
    </row>
    <row r="40" spans="1:10" x14ac:dyDescent="0.25">
      <c r="C40" t="str">
        <f>E4</f>
        <v>300dne</v>
      </c>
      <c r="D40" s="84">
        <f>E18/C18</f>
        <v>7.7821422909584131E-2</v>
      </c>
      <c r="E40" s="84">
        <v>0.09</v>
      </c>
      <c r="F40" s="29">
        <f t="shared" ref="F40:F41" si="8">D40/E40-1</f>
        <v>-0.13531752322684298</v>
      </c>
    </row>
    <row r="41" spans="1:10" x14ac:dyDescent="0.25">
      <c r="C41" t="str">
        <f>F4</f>
        <v>нить 150D/48F №149</v>
      </c>
      <c r="D41" s="84">
        <f>F18/C18</f>
        <v>9.3903577530781573E-2</v>
      </c>
      <c r="E41" s="84">
        <v>9.5000000000000001E-2</v>
      </c>
      <c r="F41" s="29">
        <f t="shared" si="8"/>
        <v>-1.1541289149667677E-2</v>
      </c>
      <c r="G41" s="84"/>
      <c r="H41" s="84"/>
      <c r="I41" s="84"/>
      <c r="J41" s="84"/>
    </row>
    <row r="42" spans="1:10" x14ac:dyDescent="0.25">
      <c r="C42" t="str">
        <f>G4</f>
        <v xml:space="preserve">150dne суровая </v>
      </c>
      <c r="D42" s="84">
        <f>G18/C18</f>
        <v>8.5607088125979822E-2</v>
      </c>
      <c r="E42" s="84">
        <v>8.7999999999999995E-2</v>
      </c>
      <c r="F42" s="29">
        <f t="shared" ref="F42" si="9">D42/E42-1</f>
        <v>-2.7192180386592879E-2</v>
      </c>
    </row>
    <row r="43" spans="1:10" x14ac:dyDescent="0.25">
      <c r="D43" s="84"/>
      <c r="E43" s="84"/>
      <c r="F43" s="50"/>
    </row>
    <row r="46" spans="1:10" x14ac:dyDescent="0.25">
      <c r="A46" s="138"/>
      <c r="B46" s="138"/>
      <c r="C46" s="138"/>
      <c r="D46" s="138"/>
      <c r="E46" s="138"/>
      <c r="F46" s="138"/>
      <c r="G46" s="138"/>
    </row>
  </sheetData>
  <mergeCells count="30">
    <mergeCell ref="A46:G4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1:E1"/>
    <mergeCell ref="A8:B8"/>
    <mergeCell ref="A9:B9"/>
    <mergeCell ref="A5:B5"/>
    <mergeCell ref="A6:B6"/>
    <mergeCell ref="A7:B7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workbookViewId="0">
      <selection activeCell="E18" sqref="E18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407</v>
      </c>
      <c r="B1" s="138"/>
      <c r="C1" s="138"/>
      <c r="D1" s="138"/>
      <c r="E1" s="138"/>
      <c r="G1" s="88">
        <v>46070</v>
      </c>
    </row>
    <row r="2" spans="1:10" x14ac:dyDescent="0.25">
      <c r="A2" s="37"/>
      <c r="B2" s="92"/>
      <c r="C2" s="92"/>
      <c r="D2" s="92"/>
      <c r="E2" s="92"/>
    </row>
    <row r="3" spans="1:10" x14ac:dyDescent="0.25">
      <c r="A3" s="37" t="s">
        <v>272</v>
      </c>
      <c r="D3" t="s">
        <v>191</v>
      </c>
      <c r="E3" s="89" t="s">
        <v>408</v>
      </c>
    </row>
    <row r="4" spans="1:10" ht="30" x14ac:dyDescent="0.25">
      <c r="D4" s="38" t="s">
        <v>215</v>
      </c>
      <c r="E4" s="38" t="s">
        <v>7</v>
      </c>
      <c r="F4" s="38" t="s">
        <v>86</v>
      </c>
      <c r="G4" s="38" t="s">
        <v>534</v>
      </c>
      <c r="H4" s="4"/>
      <c r="I4" s="4"/>
      <c r="J4" s="4"/>
    </row>
    <row r="5" spans="1:10" ht="15" customHeight="1" x14ac:dyDescent="0.25">
      <c r="A5" s="184" t="s">
        <v>409</v>
      </c>
      <c r="B5" s="184"/>
      <c r="C5" s="95">
        <v>197.87</v>
      </c>
      <c r="D5">
        <f t="shared" ref="D5:J17" si="0">$C5/$C$18*D$18</f>
        <v>19.506486368593237</v>
      </c>
      <c r="E5">
        <f t="shared" si="0"/>
        <v>47.591046388725779</v>
      </c>
      <c r="F5">
        <f t="shared" si="0"/>
        <v>38.123296367754385</v>
      </c>
      <c r="G5">
        <f t="shared" si="0"/>
        <v>21.206166596762017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84" t="s">
        <v>410</v>
      </c>
      <c r="B6" s="184"/>
      <c r="C6" s="95">
        <v>198.08</v>
      </c>
      <c r="D6">
        <f t="shared" si="0"/>
        <v>19.527188658669573</v>
      </c>
      <c r="E6">
        <f t="shared" si="0"/>
        <v>47.641554903112159</v>
      </c>
      <c r="F6">
        <f t="shared" si="0"/>
        <v>38.163756731817799</v>
      </c>
      <c r="G6">
        <f t="shared" si="0"/>
        <v>21.228672762352151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thickBot="1" x14ac:dyDescent="0.3">
      <c r="A7" s="184" t="s">
        <v>411</v>
      </c>
      <c r="B7" s="184"/>
      <c r="C7" s="95">
        <v>200.1</v>
      </c>
      <c r="D7">
        <f t="shared" si="0"/>
        <v>19.726324972737185</v>
      </c>
      <c r="E7">
        <f t="shared" si="0"/>
        <v>48.127398708162069</v>
      </c>
      <c r="F7">
        <f t="shared" si="0"/>
        <v>38.552946900427813</v>
      </c>
      <c r="G7">
        <f t="shared" si="0"/>
        <v>21.445160640885831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hidden="1" customHeight="1" x14ac:dyDescent="0.3">
      <c r="A8" s="166"/>
      <c r="B8" s="166"/>
      <c r="C8" s="70"/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.75" hidden="1" thickBot="1" x14ac:dyDescent="0.3">
      <c r="A9" s="166"/>
      <c r="B9" s="166"/>
      <c r="C9" s="70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t="15.75" hidden="1" thickBot="1" x14ac:dyDescent="0.3">
      <c r="A10" s="166"/>
      <c r="B10" s="166"/>
      <c r="C10" s="70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hidden="1" thickBot="1" x14ac:dyDescent="0.3">
      <c r="A11" s="166"/>
      <c r="B11" s="166"/>
      <c r="C11" s="70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596.05000000000007</v>
      </c>
      <c r="D18" s="2">
        <v>58.76</v>
      </c>
      <c r="E18" s="2">
        <v>143.36000000000001</v>
      </c>
      <c r="F18" s="2">
        <v>114.84</v>
      </c>
      <c r="G18" s="2">
        <v>63.88</v>
      </c>
      <c r="H18" s="2"/>
      <c r="I18" s="2"/>
      <c r="J18" s="2"/>
    </row>
    <row r="19" spans="1:10" x14ac:dyDescent="0.25">
      <c r="F19" s="91"/>
    </row>
    <row r="20" spans="1:10" x14ac:dyDescent="0.25">
      <c r="F20" s="91"/>
    </row>
    <row r="21" spans="1:10" s="47" customFormat="1" ht="27" customHeight="1" x14ac:dyDescent="0.25">
      <c r="D21" s="38" t="str">
        <f t="shared" ref="D21:F21" si="2">D4</f>
        <v xml:space="preserve">150dne суровая </v>
      </c>
      <c r="E21" s="38" t="str">
        <f t="shared" si="2"/>
        <v>600dne</v>
      </c>
      <c r="F21" s="38" t="str">
        <f t="shared" si="2"/>
        <v>Пряжа 20текс</v>
      </c>
      <c r="G21" s="38" t="str">
        <f>G4</f>
        <v>трилобал неокр</v>
      </c>
      <c r="H21" s="48">
        <f t="shared" ref="H21:J21" si="3">H4</f>
        <v>0</v>
      </c>
      <c r="I21" s="48">
        <f t="shared" si="3"/>
        <v>0</v>
      </c>
      <c r="J21" s="48">
        <f t="shared" si="3"/>
        <v>0</v>
      </c>
    </row>
    <row r="22" spans="1:10" x14ac:dyDescent="0.25">
      <c r="A22" s="141" t="str">
        <f t="shared" ref="A22:A34" si="4">A5</f>
        <v xml:space="preserve">Производство 1015 от 12.02.2026 </v>
      </c>
      <c r="B22" s="141"/>
      <c r="C22" s="22">
        <f t="shared" ref="C22:C34" si="5">C5</f>
        <v>197.87</v>
      </c>
      <c r="D22">
        <f t="shared" ref="D22:J34" si="6">ROUND(D5,3)</f>
        <v>19.506</v>
      </c>
      <c r="E22">
        <f t="shared" si="6"/>
        <v>47.591000000000001</v>
      </c>
      <c r="F22">
        <f t="shared" si="6"/>
        <v>38.122999999999998</v>
      </c>
      <c r="G22">
        <f t="shared" si="6"/>
        <v>21.206</v>
      </c>
      <c r="H22">
        <f t="shared" si="6"/>
        <v>0</v>
      </c>
      <c r="I22">
        <f t="shared" si="6"/>
        <v>0</v>
      </c>
      <c r="J22">
        <f t="shared" si="6"/>
        <v>0</v>
      </c>
    </row>
    <row r="23" spans="1:10" x14ac:dyDescent="0.25">
      <c r="A23" s="141" t="str">
        <f t="shared" si="4"/>
        <v xml:space="preserve">Производство 1043 от 13.02.2026 </v>
      </c>
      <c r="B23" s="141"/>
      <c r="C23" s="22">
        <f t="shared" si="5"/>
        <v>198.08</v>
      </c>
      <c r="D23">
        <f t="shared" si="6"/>
        <v>19.527000000000001</v>
      </c>
      <c r="E23">
        <f t="shared" si="6"/>
        <v>47.642000000000003</v>
      </c>
      <c r="F23">
        <f t="shared" si="6"/>
        <v>38.164000000000001</v>
      </c>
      <c r="G23">
        <f t="shared" si="6"/>
        <v>21.228999999999999</v>
      </c>
      <c r="H23">
        <f t="shared" si="6"/>
        <v>0</v>
      </c>
      <c r="I23">
        <f t="shared" si="6"/>
        <v>0</v>
      </c>
      <c r="J23">
        <f t="shared" si="6"/>
        <v>0</v>
      </c>
    </row>
    <row r="24" spans="1:10" ht="15.75" thickBot="1" x14ac:dyDescent="0.3">
      <c r="A24" s="141" t="str">
        <f t="shared" si="4"/>
        <v xml:space="preserve">Производство 1089 от 16.02.2026 </v>
      </c>
      <c r="B24" s="141"/>
      <c r="C24" s="22">
        <f t="shared" si="5"/>
        <v>200.1</v>
      </c>
      <c r="D24">
        <f t="shared" si="6"/>
        <v>19.725999999999999</v>
      </c>
      <c r="E24">
        <f t="shared" si="6"/>
        <v>48.127000000000002</v>
      </c>
      <c r="F24">
        <f t="shared" si="6"/>
        <v>38.552999999999997</v>
      </c>
      <c r="G24">
        <f t="shared" si="6"/>
        <v>21.445</v>
      </c>
      <c r="H24">
        <f t="shared" si="6"/>
        <v>0</v>
      </c>
      <c r="I24">
        <f t="shared" si="6"/>
        <v>0</v>
      </c>
      <c r="J24">
        <f t="shared" si="6"/>
        <v>0</v>
      </c>
    </row>
    <row r="25" spans="1:10" ht="15.75" hidden="1" thickBot="1" x14ac:dyDescent="0.3">
      <c r="A25" s="141">
        <f t="shared" si="4"/>
        <v>0</v>
      </c>
      <c r="B25" s="141"/>
      <c r="C25" s="22">
        <f t="shared" si="5"/>
        <v>0</v>
      </c>
      <c r="D25">
        <f t="shared" si="6"/>
        <v>0</v>
      </c>
      <c r="E25">
        <f t="shared" si="6"/>
        <v>0</v>
      </c>
      <c r="F25">
        <f t="shared" si="6"/>
        <v>0</v>
      </c>
      <c r="G25">
        <f t="shared" si="6"/>
        <v>0</v>
      </c>
      <c r="H25">
        <f t="shared" si="6"/>
        <v>0</v>
      </c>
      <c r="I25">
        <f t="shared" si="6"/>
        <v>0</v>
      </c>
      <c r="J25">
        <f t="shared" si="6"/>
        <v>0</v>
      </c>
    </row>
    <row r="26" spans="1:10" ht="15.75" hidden="1" thickBot="1" x14ac:dyDescent="0.3">
      <c r="A26" s="141">
        <f t="shared" si="4"/>
        <v>0</v>
      </c>
      <c r="B26" s="141"/>
      <c r="C26" s="22">
        <f t="shared" si="5"/>
        <v>0</v>
      </c>
      <c r="D26">
        <f t="shared" si="6"/>
        <v>0</v>
      </c>
      <c r="E26">
        <f t="shared" si="6"/>
        <v>0</v>
      </c>
      <c r="F26">
        <f t="shared" si="6"/>
        <v>0</v>
      </c>
      <c r="G26">
        <f t="shared" si="6"/>
        <v>0</v>
      </c>
      <c r="H26">
        <f t="shared" si="6"/>
        <v>0</v>
      </c>
      <c r="I26">
        <f t="shared" si="6"/>
        <v>0</v>
      </c>
      <c r="J26">
        <f t="shared" si="6"/>
        <v>0</v>
      </c>
    </row>
    <row r="27" spans="1:10" ht="15.75" hidden="1" thickBot="1" x14ac:dyDescent="0.3">
      <c r="A27" s="141">
        <f t="shared" si="4"/>
        <v>0</v>
      </c>
      <c r="B27" s="141"/>
      <c r="C27" s="22">
        <f t="shared" si="5"/>
        <v>0</v>
      </c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0</v>
      </c>
      <c r="H27">
        <f t="shared" si="6"/>
        <v>0</v>
      </c>
      <c r="I27">
        <f t="shared" si="6"/>
        <v>0</v>
      </c>
      <c r="J27">
        <f t="shared" si="6"/>
        <v>0</v>
      </c>
    </row>
    <row r="28" spans="1:10" ht="15.75" hidden="1" thickBot="1" x14ac:dyDescent="0.3">
      <c r="A28" s="141">
        <f t="shared" si="4"/>
        <v>0</v>
      </c>
      <c r="B28" s="141"/>
      <c r="C28" s="22">
        <f t="shared" si="5"/>
        <v>0</v>
      </c>
      <c r="D28">
        <f t="shared" si="6"/>
        <v>0</v>
      </c>
      <c r="E28">
        <f t="shared" si="6"/>
        <v>0</v>
      </c>
      <c r="F28">
        <f t="shared" si="6"/>
        <v>0</v>
      </c>
      <c r="G28">
        <f t="shared" si="6"/>
        <v>0</v>
      </c>
      <c r="H28">
        <f t="shared" si="6"/>
        <v>0</v>
      </c>
      <c r="I28">
        <f t="shared" si="6"/>
        <v>0</v>
      </c>
      <c r="J28">
        <f t="shared" si="6"/>
        <v>0</v>
      </c>
    </row>
    <row r="29" spans="1:10" ht="15.75" hidden="1" thickBot="1" x14ac:dyDescent="0.3">
      <c r="A29" s="141">
        <f t="shared" si="4"/>
        <v>0</v>
      </c>
      <c r="B29" s="141"/>
      <c r="C29" s="22">
        <f t="shared" si="5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</row>
    <row r="30" spans="1:10" ht="15.75" hidden="1" thickBot="1" x14ac:dyDescent="0.3">
      <c r="A30" s="141">
        <f t="shared" si="4"/>
        <v>0</v>
      </c>
      <c r="B30" s="141"/>
      <c r="C30" s="22">
        <f t="shared" si="5"/>
        <v>0</v>
      </c>
      <c r="D30">
        <f t="shared" si="6"/>
        <v>0</v>
      </c>
      <c r="E30">
        <f t="shared" si="6"/>
        <v>0</v>
      </c>
      <c r="F30">
        <f t="shared" si="6"/>
        <v>0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0</v>
      </c>
    </row>
    <row r="31" spans="1:10" ht="15.75" hidden="1" thickBot="1" x14ac:dyDescent="0.3">
      <c r="A31" s="141">
        <f t="shared" si="4"/>
        <v>0</v>
      </c>
      <c r="B31" s="141"/>
      <c r="C31" s="22">
        <f t="shared" si="5"/>
        <v>0</v>
      </c>
      <c r="D31">
        <f t="shared" si="6"/>
        <v>0</v>
      </c>
      <c r="E31">
        <f t="shared" si="6"/>
        <v>0</v>
      </c>
      <c r="F31">
        <f t="shared" si="6"/>
        <v>0</v>
      </c>
      <c r="G31">
        <f t="shared" si="6"/>
        <v>0</v>
      </c>
      <c r="H31">
        <f t="shared" si="6"/>
        <v>0</v>
      </c>
      <c r="I31">
        <f t="shared" si="6"/>
        <v>0</v>
      </c>
      <c r="J31">
        <f t="shared" si="6"/>
        <v>0</v>
      </c>
    </row>
    <row r="32" spans="1:10" ht="15.75" hidden="1" thickBot="1" x14ac:dyDescent="0.3">
      <c r="A32" s="141">
        <f t="shared" si="4"/>
        <v>0</v>
      </c>
      <c r="B32" s="141"/>
      <c r="C32" s="22">
        <f t="shared" si="5"/>
        <v>0</v>
      </c>
      <c r="D32">
        <f t="shared" si="6"/>
        <v>0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6"/>
        <v>0</v>
      </c>
      <c r="I32">
        <f t="shared" si="6"/>
        <v>0</v>
      </c>
      <c r="J32">
        <f t="shared" si="6"/>
        <v>0</v>
      </c>
    </row>
    <row r="33" spans="1:10" ht="15.75" hidden="1" thickBot="1" x14ac:dyDescent="0.3">
      <c r="A33" s="141">
        <f t="shared" si="4"/>
        <v>0</v>
      </c>
      <c r="B33" s="141"/>
      <c r="C33" s="22">
        <f t="shared" si="5"/>
        <v>0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0</v>
      </c>
      <c r="H33">
        <f t="shared" si="6"/>
        <v>0</v>
      </c>
      <c r="I33">
        <f t="shared" si="6"/>
        <v>0</v>
      </c>
      <c r="J33">
        <f t="shared" si="6"/>
        <v>0</v>
      </c>
    </row>
    <row r="34" spans="1:10" ht="15.75" hidden="1" thickBot="1" x14ac:dyDescent="0.3">
      <c r="A34" s="141">
        <f t="shared" si="4"/>
        <v>0</v>
      </c>
      <c r="B34" s="141"/>
      <c r="C34" s="22">
        <f t="shared" si="5"/>
        <v>0</v>
      </c>
      <c r="D34">
        <f t="shared" si="6"/>
        <v>0</v>
      </c>
      <c r="E34">
        <f t="shared" si="6"/>
        <v>0</v>
      </c>
      <c r="F34">
        <f t="shared" si="6"/>
        <v>0</v>
      </c>
      <c r="G34">
        <f t="shared" si="6"/>
        <v>0</v>
      </c>
      <c r="H34">
        <f t="shared" si="6"/>
        <v>0</v>
      </c>
      <c r="I34">
        <f t="shared" si="6"/>
        <v>0</v>
      </c>
      <c r="J34">
        <f t="shared" si="6"/>
        <v>0</v>
      </c>
    </row>
    <row r="35" spans="1:10" ht="15" customHeight="1" x14ac:dyDescent="0.25">
      <c r="A35" s="137" t="s">
        <v>6</v>
      </c>
      <c r="B35" s="137"/>
      <c r="C35" s="12">
        <f>SUM(C22:C34)</f>
        <v>596.05000000000007</v>
      </c>
      <c r="D35" s="2">
        <f>SUM(D22:D34)</f>
        <v>58.759</v>
      </c>
      <c r="E35" s="2">
        <f>SUM(E22:E34)</f>
        <v>143.36000000000001</v>
      </c>
      <c r="F35" s="2">
        <f t="shared" ref="F35:J35" si="7">SUM(F22:F34)</f>
        <v>114.84</v>
      </c>
      <c r="G35" s="2">
        <f t="shared" si="7"/>
        <v>63.88</v>
      </c>
      <c r="H35" s="2">
        <f t="shared" si="7"/>
        <v>0</v>
      </c>
      <c r="I35" s="2">
        <f t="shared" si="7"/>
        <v>0</v>
      </c>
      <c r="J35" s="2">
        <f t="shared" si="7"/>
        <v>0</v>
      </c>
    </row>
    <row r="38" spans="1:10" x14ac:dyDescent="0.25">
      <c r="D38" t="s">
        <v>107</v>
      </c>
      <c r="E38" t="s">
        <v>108</v>
      </c>
      <c r="F38" t="s">
        <v>109</v>
      </c>
    </row>
    <row r="39" spans="1:10" x14ac:dyDescent="0.25">
      <c r="C39" t="str">
        <f>D4</f>
        <v xml:space="preserve">150dne суровая </v>
      </c>
      <c r="D39" s="92">
        <f>D18/C18</f>
        <v>9.8582333696837499E-2</v>
      </c>
      <c r="E39" s="92">
        <v>0.09</v>
      </c>
      <c r="F39" s="29">
        <f>D39/E39-1</f>
        <v>9.5359263298194552E-2</v>
      </c>
      <c r="G39" s="92"/>
      <c r="H39" s="92"/>
      <c r="I39" s="92"/>
      <c r="J39" s="92"/>
    </row>
    <row r="40" spans="1:10" x14ac:dyDescent="0.25">
      <c r="C40" t="str">
        <f>E4</f>
        <v>600dne</v>
      </c>
      <c r="D40" s="92">
        <f>E18/C18</f>
        <v>0.24051673517322372</v>
      </c>
      <c r="E40" s="92">
        <v>0.2</v>
      </c>
      <c r="F40" s="29">
        <f t="shared" ref="F40:F42" si="8">D40/E40-1</f>
        <v>0.20258367586611858</v>
      </c>
    </row>
    <row r="41" spans="1:10" x14ac:dyDescent="0.25">
      <c r="C41" t="str">
        <f>F4</f>
        <v>Пряжа 20текс</v>
      </c>
      <c r="D41" s="92">
        <f>F18/C18</f>
        <v>0.19266840030198806</v>
      </c>
      <c r="E41" s="92">
        <v>0.21</v>
      </c>
      <c r="F41" s="29">
        <f t="shared" si="8"/>
        <v>-8.2531427133390123E-2</v>
      </c>
      <c r="G41" s="92"/>
      <c r="H41" s="92"/>
      <c r="I41" s="92"/>
      <c r="J41" s="92"/>
    </row>
    <row r="42" spans="1:10" x14ac:dyDescent="0.25">
      <c r="C42" t="str">
        <f>G4</f>
        <v>трилобал неокр</v>
      </c>
      <c r="D42" s="92">
        <f>G18/C18</f>
        <v>0.10717221709588121</v>
      </c>
      <c r="E42" s="92">
        <v>0.114</v>
      </c>
      <c r="F42" s="29">
        <f t="shared" si="8"/>
        <v>-5.9892832492270176E-2</v>
      </c>
    </row>
    <row r="43" spans="1:10" x14ac:dyDescent="0.25">
      <c r="D43" s="92"/>
      <c r="E43" s="92"/>
      <c r="F43" s="50"/>
    </row>
    <row r="46" spans="1:10" x14ac:dyDescent="0.25">
      <c r="A46" s="138"/>
      <c r="B46" s="138"/>
      <c r="C46" s="138"/>
      <c r="D46" s="138"/>
      <c r="E46" s="138"/>
      <c r="F46" s="138"/>
      <c r="G46" s="138"/>
    </row>
  </sheetData>
  <mergeCells count="30">
    <mergeCell ref="A46:G4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1:E1"/>
    <mergeCell ref="A8:B8"/>
    <mergeCell ref="A9:B9"/>
    <mergeCell ref="A5:B5"/>
    <mergeCell ref="A6:B6"/>
    <mergeCell ref="A7:B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workbookViewId="0">
      <selection activeCell="P36" sqref="P36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423</v>
      </c>
      <c r="B1" s="138"/>
      <c r="C1" s="138"/>
      <c r="D1" s="138"/>
      <c r="E1" s="138"/>
      <c r="G1" s="88">
        <v>46080</v>
      </c>
    </row>
    <row r="2" spans="1:10" x14ac:dyDescent="0.25">
      <c r="A2" s="37"/>
      <c r="B2" s="96"/>
      <c r="C2" s="96"/>
      <c r="D2" s="96"/>
      <c r="E2" s="96"/>
    </row>
    <row r="3" spans="1:10" x14ac:dyDescent="0.25">
      <c r="A3" s="37" t="s">
        <v>424</v>
      </c>
      <c r="D3" t="s">
        <v>221</v>
      </c>
      <c r="E3" s="89" t="s">
        <v>425</v>
      </c>
    </row>
    <row r="4" spans="1:10" ht="30" x14ac:dyDescent="0.25">
      <c r="D4" s="38" t="s">
        <v>44</v>
      </c>
      <c r="E4" s="38" t="s">
        <v>215</v>
      </c>
      <c r="F4" s="38" t="s">
        <v>426</v>
      </c>
      <c r="G4" s="38" t="s">
        <v>427</v>
      </c>
      <c r="H4" s="4"/>
      <c r="I4" s="4"/>
      <c r="J4" s="4"/>
    </row>
    <row r="5" spans="1:10" ht="15" customHeight="1" x14ac:dyDescent="0.25">
      <c r="A5" s="185" t="s">
        <v>428</v>
      </c>
      <c r="B5" s="185"/>
      <c r="C5" s="99">
        <v>146.09</v>
      </c>
      <c r="D5">
        <f t="shared" ref="D5:J17" si="0">$C5/$C$18*D$18</f>
        <v>17.669426919612494</v>
      </c>
      <c r="E5">
        <f t="shared" si="0"/>
        <v>16.558961377966504</v>
      </c>
      <c r="F5">
        <f t="shared" si="0"/>
        <v>18.089711943234249</v>
      </c>
      <c r="G5">
        <f t="shared" si="0"/>
        <v>27.50651344693836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85" t="s">
        <v>429</v>
      </c>
      <c r="B6" s="185"/>
      <c r="C6" s="99">
        <v>237.45</v>
      </c>
      <c r="D6">
        <f t="shared" si="0"/>
        <v>28.719319748524789</v>
      </c>
      <c r="E6">
        <f t="shared" si="0"/>
        <v>26.914404676556551</v>
      </c>
      <c r="F6">
        <f t="shared" si="0"/>
        <v>29.402437544807807</v>
      </c>
      <c r="G6">
        <f t="shared" si="0"/>
        <v>44.708204654497322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85" t="s">
        <v>430</v>
      </c>
      <c r="B7" s="185"/>
      <c r="C7" s="99">
        <v>158.72999999999999</v>
      </c>
      <c r="D7">
        <f t="shared" si="0"/>
        <v>19.198221198919097</v>
      </c>
      <c r="E7">
        <f t="shared" si="0"/>
        <v>17.991675949925547</v>
      </c>
      <c r="F7">
        <f t="shared" si="0"/>
        <v>19.654870126289087</v>
      </c>
      <c r="G7">
        <f t="shared" si="0"/>
        <v>29.886432195444769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x14ac:dyDescent="0.25">
      <c r="A8" s="185" t="s">
        <v>431</v>
      </c>
      <c r="B8" s="185"/>
      <c r="C8" s="99">
        <v>306.01</v>
      </c>
      <c r="D8">
        <f t="shared" si="0"/>
        <v>37.011577326789094</v>
      </c>
      <c r="E8">
        <f t="shared" si="0"/>
        <v>34.685521057372377</v>
      </c>
      <c r="F8">
        <f t="shared" si="0"/>
        <v>37.891934778212836</v>
      </c>
      <c r="G8">
        <f t="shared" si="0"/>
        <v>57.617004448611191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.75" thickBot="1" x14ac:dyDescent="0.3">
      <c r="A9" s="185" t="s">
        <v>432</v>
      </c>
      <c r="B9" s="185"/>
      <c r="C9" s="99">
        <v>239.7</v>
      </c>
      <c r="D9">
        <f t="shared" si="0"/>
        <v>28.991454806154525</v>
      </c>
      <c r="E9">
        <f t="shared" si="0"/>
        <v>27.169436938179008</v>
      </c>
      <c r="F9">
        <f t="shared" si="0"/>
        <v>29.681045607456017</v>
      </c>
      <c r="G9">
        <f t="shared" si="0"/>
        <v>45.131845254508349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idden="1" x14ac:dyDescent="0.25">
      <c r="A10" s="166"/>
      <c r="B10" s="166"/>
      <c r="C10" s="70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idden="1" x14ac:dyDescent="0.25">
      <c r="A11" s="166"/>
      <c r="B11" s="166"/>
      <c r="C11" s="70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48"/>
      <c r="B12" s="148"/>
      <c r="C12" s="26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1087.98</v>
      </c>
      <c r="D18" s="2">
        <v>131.59</v>
      </c>
      <c r="E18" s="2">
        <v>123.32</v>
      </c>
      <c r="F18" s="2">
        <v>134.72</v>
      </c>
      <c r="G18" s="2">
        <v>204.85</v>
      </c>
      <c r="H18" s="2"/>
      <c r="I18" s="2"/>
      <c r="J18" s="2"/>
    </row>
    <row r="19" spans="1:10" x14ac:dyDescent="0.25">
      <c r="F19" s="91"/>
    </row>
    <row r="20" spans="1:10" x14ac:dyDescent="0.25">
      <c r="F20" s="91"/>
    </row>
    <row r="21" spans="1:10" s="47" customFormat="1" ht="27" customHeight="1" x14ac:dyDescent="0.25">
      <c r="D21" s="38" t="str">
        <f t="shared" ref="D21:F21" si="2">D4</f>
        <v>300dne</v>
      </c>
      <c r="E21" s="38" t="str">
        <f t="shared" si="2"/>
        <v xml:space="preserve">150dne суровая </v>
      </c>
      <c r="F21" s="38" t="str">
        <f t="shared" si="2"/>
        <v xml:space="preserve">Трилобал черный </v>
      </c>
      <c r="G21" s="38" t="str">
        <f>G4</f>
        <v>Пряжа 20 текс</v>
      </c>
      <c r="H21" s="48">
        <f t="shared" ref="H21:J21" si="3">H4</f>
        <v>0</v>
      </c>
      <c r="I21" s="48">
        <f t="shared" si="3"/>
        <v>0</v>
      </c>
      <c r="J21" s="48">
        <f t="shared" si="3"/>
        <v>0</v>
      </c>
    </row>
    <row r="22" spans="1:10" x14ac:dyDescent="0.25">
      <c r="A22" s="141" t="str">
        <f t="shared" ref="A22:A34" si="4">A5</f>
        <v xml:space="preserve">Производство 1147 от 17.02.2026 </v>
      </c>
      <c r="B22" s="141"/>
      <c r="C22" s="22">
        <f t="shared" ref="C22:C34" si="5">C5</f>
        <v>146.09</v>
      </c>
      <c r="D22">
        <f t="shared" ref="D22:J34" si="6">ROUND(D5,3)</f>
        <v>17.669</v>
      </c>
      <c r="E22">
        <f t="shared" si="6"/>
        <v>16.559000000000001</v>
      </c>
      <c r="F22">
        <f t="shared" si="6"/>
        <v>18.09</v>
      </c>
      <c r="G22">
        <f t="shared" si="6"/>
        <v>27.507000000000001</v>
      </c>
      <c r="H22">
        <f t="shared" si="6"/>
        <v>0</v>
      </c>
      <c r="I22">
        <f t="shared" si="6"/>
        <v>0</v>
      </c>
      <c r="J22">
        <f t="shared" si="6"/>
        <v>0</v>
      </c>
    </row>
    <row r="23" spans="1:10" x14ac:dyDescent="0.25">
      <c r="A23" s="141" t="str">
        <f t="shared" si="4"/>
        <v xml:space="preserve">Производство 1188 от 18.02.2026 </v>
      </c>
      <c r="B23" s="141"/>
      <c r="C23" s="22">
        <f t="shared" si="5"/>
        <v>237.45</v>
      </c>
      <c r="D23">
        <f t="shared" si="6"/>
        <v>28.719000000000001</v>
      </c>
      <c r="E23">
        <f t="shared" si="6"/>
        <v>26.914000000000001</v>
      </c>
      <c r="F23">
        <f t="shared" si="6"/>
        <v>29.402000000000001</v>
      </c>
      <c r="G23">
        <f t="shared" si="6"/>
        <v>44.707999999999998</v>
      </c>
      <c r="H23">
        <f t="shared" si="6"/>
        <v>0</v>
      </c>
      <c r="I23">
        <f t="shared" si="6"/>
        <v>0</v>
      </c>
      <c r="J23">
        <f t="shared" si="6"/>
        <v>0</v>
      </c>
    </row>
    <row r="24" spans="1:10" x14ac:dyDescent="0.25">
      <c r="A24" s="141" t="str">
        <f t="shared" si="4"/>
        <v xml:space="preserve">Производство 1268 от 19.02.2026 </v>
      </c>
      <c r="B24" s="141"/>
      <c r="C24" s="22">
        <f t="shared" si="5"/>
        <v>158.72999999999999</v>
      </c>
      <c r="D24">
        <f t="shared" si="6"/>
        <v>19.198</v>
      </c>
      <c r="E24">
        <f t="shared" si="6"/>
        <v>17.992000000000001</v>
      </c>
      <c r="F24">
        <f t="shared" si="6"/>
        <v>19.655000000000001</v>
      </c>
      <c r="G24">
        <f t="shared" si="6"/>
        <v>29.885999999999999</v>
      </c>
      <c r="H24">
        <f t="shared" si="6"/>
        <v>0</v>
      </c>
      <c r="I24">
        <f t="shared" si="6"/>
        <v>0</v>
      </c>
      <c r="J24">
        <f t="shared" si="6"/>
        <v>0</v>
      </c>
    </row>
    <row r="25" spans="1:10" x14ac:dyDescent="0.25">
      <c r="A25" s="141" t="str">
        <f t="shared" si="4"/>
        <v xml:space="preserve">Производство 1359 от 24.02.2026 </v>
      </c>
      <c r="B25" s="141"/>
      <c r="C25" s="22">
        <f t="shared" si="5"/>
        <v>306.01</v>
      </c>
      <c r="D25">
        <f t="shared" si="6"/>
        <v>37.012</v>
      </c>
      <c r="E25">
        <f t="shared" si="6"/>
        <v>34.686</v>
      </c>
      <c r="F25">
        <f t="shared" si="6"/>
        <v>37.892000000000003</v>
      </c>
      <c r="G25">
        <f t="shared" si="6"/>
        <v>57.616999999999997</v>
      </c>
      <c r="H25">
        <f t="shared" si="6"/>
        <v>0</v>
      </c>
      <c r="I25">
        <f t="shared" si="6"/>
        <v>0</v>
      </c>
      <c r="J25">
        <f t="shared" si="6"/>
        <v>0</v>
      </c>
    </row>
    <row r="26" spans="1:10" ht="15.75" thickBot="1" x14ac:dyDescent="0.3">
      <c r="A26" s="141" t="str">
        <f t="shared" si="4"/>
        <v xml:space="preserve">Производство 1367 от 25.02.2026 </v>
      </c>
      <c r="B26" s="141"/>
      <c r="C26" s="22">
        <f t="shared" si="5"/>
        <v>239.7</v>
      </c>
      <c r="D26">
        <f t="shared" si="6"/>
        <v>28.991</v>
      </c>
      <c r="E26">
        <f t="shared" si="6"/>
        <v>27.169</v>
      </c>
      <c r="F26">
        <f t="shared" si="6"/>
        <v>29.681000000000001</v>
      </c>
      <c r="G26">
        <f t="shared" si="6"/>
        <v>45.131999999999998</v>
      </c>
      <c r="H26">
        <f t="shared" si="6"/>
        <v>0</v>
      </c>
      <c r="I26">
        <f t="shared" si="6"/>
        <v>0</v>
      </c>
      <c r="J26">
        <f t="shared" si="6"/>
        <v>0</v>
      </c>
    </row>
    <row r="27" spans="1:10" hidden="1" x14ac:dyDescent="0.25">
      <c r="A27" s="141">
        <f t="shared" si="4"/>
        <v>0</v>
      </c>
      <c r="B27" s="141"/>
      <c r="C27" s="22">
        <f t="shared" si="5"/>
        <v>0</v>
      </c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0</v>
      </c>
      <c r="H27">
        <f t="shared" si="6"/>
        <v>0</v>
      </c>
      <c r="I27">
        <f t="shared" si="6"/>
        <v>0</v>
      </c>
      <c r="J27">
        <f t="shared" si="6"/>
        <v>0</v>
      </c>
    </row>
    <row r="28" spans="1:10" hidden="1" x14ac:dyDescent="0.25">
      <c r="A28" s="141">
        <f t="shared" si="4"/>
        <v>0</v>
      </c>
      <c r="B28" s="141"/>
      <c r="C28" s="22">
        <f t="shared" si="5"/>
        <v>0</v>
      </c>
      <c r="D28">
        <f t="shared" si="6"/>
        <v>0</v>
      </c>
      <c r="E28">
        <f t="shared" si="6"/>
        <v>0</v>
      </c>
      <c r="F28">
        <f t="shared" si="6"/>
        <v>0</v>
      </c>
      <c r="G28">
        <f t="shared" si="6"/>
        <v>0</v>
      </c>
      <c r="H28">
        <f t="shared" si="6"/>
        <v>0</v>
      </c>
      <c r="I28">
        <f t="shared" si="6"/>
        <v>0</v>
      </c>
      <c r="J28">
        <f t="shared" si="6"/>
        <v>0</v>
      </c>
    </row>
    <row r="29" spans="1:10" hidden="1" x14ac:dyDescent="0.25">
      <c r="A29" s="141">
        <f t="shared" si="4"/>
        <v>0</v>
      </c>
      <c r="B29" s="141"/>
      <c r="C29" s="22">
        <f t="shared" si="5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</row>
    <row r="30" spans="1:10" hidden="1" x14ac:dyDescent="0.25">
      <c r="A30" s="141">
        <f t="shared" si="4"/>
        <v>0</v>
      </c>
      <c r="B30" s="141"/>
      <c r="C30" s="22">
        <f t="shared" si="5"/>
        <v>0</v>
      </c>
      <c r="D30">
        <f t="shared" si="6"/>
        <v>0</v>
      </c>
      <c r="E30">
        <f t="shared" si="6"/>
        <v>0</v>
      </c>
      <c r="F30">
        <f t="shared" si="6"/>
        <v>0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0</v>
      </c>
    </row>
    <row r="31" spans="1:10" hidden="1" x14ac:dyDescent="0.25">
      <c r="A31" s="141">
        <f t="shared" si="4"/>
        <v>0</v>
      </c>
      <c r="B31" s="141"/>
      <c r="C31" s="22">
        <f t="shared" si="5"/>
        <v>0</v>
      </c>
      <c r="D31">
        <f t="shared" si="6"/>
        <v>0</v>
      </c>
      <c r="E31">
        <f t="shared" si="6"/>
        <v>0</v>
      </c>
      <c r="F31">
        <f t="shared" si="6"/>
        <v>0</v>
      </c>
      <c r="G31">
        <f t="shared" si="6"/>
        <v>0</v>
      </c>
      <c r="H31">
        <f t="shared" si="6"/>
        <v>0</v>
      </c>
      <c r="I31">
        <f t="shared" si="6"/>
        <v>0</v>
      </c>
      <c r="J31">
        <f t="shared" si="6"/>
        <v>0</v>
      </c>
    </row>
    <row r="32" spans="1:10" hidden="1" x14ac:dyDescent="0.25">
      <c r="A32" s="141">
        <f t="shared" si="4"/>
        <v>0</v>
      </c>
      <c r="B32" s="141"/>
      <c r="C32" s="22">
        <f t="shared" si="5"/>
        <v>0</v>
      </c>
      <c r="D32">
        <f t="shared" si="6"/>
        <v>0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6"/>
        <v>0</v>
      </c>
      <c r="I32">
        <f t="shared" si="6"/>
        <v>0</v>
      </c>
      <c r="J32">
        <f t="shared" si="6"/>
        <v>0</v>
      </c>
    </row>
    <row r="33" spans="1:10" hidden="1" x14ac:dyDescent="0.25">
      <c r="A33" s="141">
        <f t="shared" si="4"/>
        <v>0</v>
      </c>
      <c r="B33" s="141"/>
      <c r="C33" s="22">
        <f t="shared" si="5"/>
        <v>0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0</v>
      </c>
      <c r="H33">
        <f t="shared" si="6"/>
        <v>0</v>
      </c>
      <c r="I33">
        <f t="shared" si="6"/>
        <v>0</v>
      </c>
      <c r="J33">
        <f t="shared" si="6"/>
        <v>0</v>
      </c>
    </row>
    <row r="34" spans="1:10" ht="15.75" hidden="1" thickBot="1" x14ac:dyDescent="0.3">
      <c r="A34" s="141">
        <f t="shared" si="4"/>
        <v>0</v>
      </c>
      <c r="B34" s="141"/>
      <c r="C34" s="22">
        <f t="shared" si="5"/>
        <v>0</v>
      </c>
      <c r="D34">
        <f t="shared" si="6"/>
        <v>0</v>
      </c>
      <c r="E34">
        <f t="shared" si="6"/>
        <v>0</v>
      </c>
      <c r="F34">
        <f t="shared" si="6"/>
        <v>0</v>
      </c>
      <c r="G34">
        <f t="shared" si="6"/>
        <v>0</v>
      </c>
      <c r="H34">
        <f t="shared" si="6"/>
        <v>0</v>
      </c>
      <c r="I34">
        <f t="shared" si="6"/>
        <v>0</v>
      </c>
      <c r="J34">
        <f t="shared" si="6"/>
        <v>0</v>
      </c>
    </row>
    <row r="35" spans="1:10" ht="15" customHeight="1" x14ac:dyDescent="0.25">
      <c r="A35" s="137" t="s">
        <v>6</v>
      </c>
      <c r="B35" s="137"/>
      <c r="C35" s="12">
        <f>SUM(C22:C34)</f>
        <v>1087.98</v>
      </c>
      <c r="D35" s="2">
        <f>SUM(D22:D34)</f>
        <v>131.589</v>
      </c>
      <c r="E35" s="2">
        <f>SUM(E22:E34)</f>
        <v>123.32000000000001</v>
      </c>
      <c r="F35" s="2">
        <f t="shared" ref="F35:J35" si="7">SUM(F22:F34)</f>
        <v>134.72000000000003</v>
      </c>
      <c r="G35" s="2">
        <f t="shared" si="7"/>
        <v>204.85</v>
      </c>
      <c r="H35" s="2">
        <f t="shared" si="7"/>
        <v>0</v>
      </c>
      <c r="I35" s="2">
        <f t="shared" si="7"/>
        <v>0</v>
      </c>
      <c r="J35" s="2">
        <f t="shared" si="7"/>
        <v>0</v>
      </c>
    </row>
    <row r="38" spans="1:10" x14ac:dyDescent="0.25">
      <c r="D38" t="s">
        <v>107</v>
      </c>
      <c r="E38" t="s">
        <v>108</v>
      </c>
      <c r="F38" t="s">
        <v>109</v>
      </c>
    </row>
    <row r="39" spans="1:10" x14ac:dyDescent="0.25">
      <c r="C39" t="str">
        <f>D4</f>
        <v>300dne</v>
      </c>
      <c r="D39" s="96">
        <f>D18/C18</f>
        <v>0.12094891450210482</v>
      </c>
      <c r="E39" s="96">
        <v>0.113</v>
      </c>
      <c r="F39" s="29">
        <f>D39/E39-1</f>
        <v>7.0344376124821473E-2</v>
      </c>
      <c r="G39" s="96"/>
      <c r="H39" s="96"/>
      <c r="I39" s="96"/>
      <c r="J39" s="96"/>
    </row>
    <row r="40" spans="1:10" x14ac:dyDescent="0.25">
      <c r="C40" t="str">
        <f>E4</f>
        <v xml:space="preserve">150dne суровая </v>
      </c>
      <c r="D40" s="96">
        <f>E18/C18</f>
        <v>0.11334767183220279</v>
      </c>
      <c r="E40" s="96">
        <v>0.09</v>
      </c>
      <c r="F40" s="29">
        <f t="shared" ref="F40:F42" si="8">D40/E40-1</f>
        <v>0.25941857591336448</v>
      </c>
    </row>
    <row r="41" spans="1:10" x14ac:dyDescent="0.25">
      <c r="C41" t="str">
        <f>F4</f>
        <v xml:space="preserve">Трилобал черный </v>
      </c>
      <c r="D41" s="96">
        <f>F18/C18</f>
        <v>0.12382580562142687</v>
      </c>
      <c r="E41" s="96">
        <v>9.1999999999999998E-2</v>
      </c>
      <c r="F41" s="29">
        <f t="shared" si="8"/>
        <v>0.34593266979811821</v>
      </c>
      <c r="G41" s="96"/>
      <c r="H41" s="96"/>
      <c r="I41" s="96"/>
      <c r="J41" s="96"/>
    </row>
    <row r="42" spans="1:10" x14ac:dyDescent="0.25">
      <c r="C42" t="str">
        <f>G4</f>
        <v>Пряжа 20 текс</v>
      </c>
      <c r="D42" s="96">
        <f>G18/C18</f>
        <v>0.18828471111601316</v>
      </c>
      <c r="E42" s="96">
        <v>0.21199999999999999</v>
      </c>
      <c r="F42" s="29">
        <f t="shared" si="8"/>
        <v>-0.11186457020748508</v>
      </c>
    </row>
    <row r="43" spans="1:10" x14ac:dyDescent="0.25">
      <c r="D43" s="96"/>
      <c r="E43" s="96"/>
      <c r="F43" s="50"/>
    </row>
    <row r="46" spans="1:10" x14ac:dyDescent="0.25">
      <c r="A46" s="138"/>
      <c r="B46" s="138"/>
      <c r="C46" s="138"/>
      <c r="D46" s="138"/>
      <c r="E46" s="138"/>
      <c r="F46" s="138"/>
      <c r="G46" s="138"/>
    </row>
  </sheetData>
  <mergeCells count="30">
    <mergeCell ref="A24:B24"/>
    <mergeCell ref="A10:B10"/>
    <mergeCell ref="A11:B11"/>
    <mergeCell ref="A12:B12"/>
    <mergeCell ref="A13:B13"/>
    <mergeCell ref="A14:B14"/>
    <mergeCell ref="A16:B16"/>
    <mergeCell ref="A17:B17"/>
    <mergeCell ref="A18:B18"/>
    <mergeCell ref="A22:B22"/>
    <mergeCell ref="A23:B23"/>
    <mergeCell ref="A15:B15"/>
    <mergeCell ref="A35:B35"/>
    <mergeCell ref="A46:G4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9:B9"/>
    <mergeCell ref="A1:E1"/>
    <mergeCell ref="A5:B5"/>
    <mergeCell ref="A6:B6"/>
    <mergeCell ref="A7:B7"/>
    <mergeCell ref="A8:B8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topLeftCell="A10" workbookViewId="0">
      <selection activeCell="D4" sqref="D4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hidden="1" customWidth="1"/>
    <col min="7" max="7" width="13.5703125" hidden="1" customWidth="1"/>
    <col min="8" max="8" width="9.140625" hidden="1" customWidth="1"/>
    <col min="9" max="10" width="10.5703125" hidden="1" customWidth="1"/>
    <col min="11" max="11" width="11.28515625" customWidth="1"/>
  </cols>
  <sheetData>
    <row r="1" spans="1:11" x14ac:dyDescent="0.25">
      <c r="A1" s="138" t="s">
        <v>433</v>
      </c>
      <c r="B1" s="138"/>
      <c r="C1" s="138"/>
      <c r="D1" s="138"/>
      <c r="E1" s="138"/>
      <c r="G1" s="88">
        <v>46083</v>
      </c>
      <c r="K1" s="88">
        <v>46083</v>
      </c>
    </row>
    <row r="2" spans="1:11" x14ac:dyDescent="0.25">
      <c r="A2" s="37"/>
      <c r="B2" s="98"/>
      <c r="C2" s="98"/>
      <c r="D2" s="98"/>
      <c r="E2" s="98"/>
    </row>
    <row r="3" spans="1:11" x14ac:dyDescent="0.25">
      <c r="A3" s="37" t="s">
        <v>434</v>
      </c>
      <c r="D3" t="s">
        <v>199</v>
      </c>
      <c r="E3" s="89" t="s">
        <v>435</v>
      </c>
    </row>
    <row r="4" spans="1:11" ht="30" x14ac:dyDescent="0.25">
      <c r="D4" s="38" t="s">
        <v>44</v>
      </c>
      <c r="E4" s="38" t="s">
        <v>215</v>
      </c>
      <c r="F4" s="38"/>
      <c r="G4" s="38"/>
      <c r="H4" s="4"/>
      <c r="I4" s="4"/>
      <c r="J4" s="4"/>
    </row>
    <row r="5" spans="1:11" ht="15" customHeight="1" x14ac:dyDescent="0.25">
      <c r="A5" s="179" t="s">
        <v>436</v>
      </c>
      <c r="B5" s="179"/>
      <c r="C5" s="101">
        <v>155.9</v>
      </c>
      <c r="D5">
        <f t="shared" ref="D5:J17" si="0">$C5/$C$18*D$18</f>
        <v>17.801038345770923</v>
      </c>
      <c r="E5">
        <f t="shared" si="0"/>
        <v>59.76717366911857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1" ht="15" customHeight="1" x14ac:dyDescent="0.25">
      <c r="A6" s="179" t="s">
        <v>437</v>
      </c>
      <c r="B6" s="179"/>
      <c r="C6" s="101">
        <v>265.02</v>
      </c>
      <c r="D6">
        <f t="shared" si="0"/>
        <v>30.260623363670362</v>
      </c>
      <c r="E6">
        <f t="shared" si="0"/>
        <v>101.6003615509288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1" ht="15" customHeight="1" x14ac:dyDescent="0.25">
      <c r="A7" s="179" t="s">
        <v>438</v>
      </c>
      <c r="B7" s="179"/>
      <c r="C7" s="101">
        <v>265.26</v>
      </c>
      <c r="D7">
        <f t="shared" si="0"/>
        <v>30.288027143035244</v>
      </c>
      <c r="E7">
        <f t="shared" si="0"/>
        <v>101.69237002867472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1" ht="15" customHeight="1" x14ac:dyDescent="0.25">
      <c r="A8" s="179" t="s">
        <v>439</v>
      </c>
      <c r="B8" s="179"/>
      <c r="C8" s="101">
        <v>349.51</v>
      </c>
      <c r="D8">
        <f t="shared" si="0"/>
        <v>39.907895524248843</v>
      </c>
      <c r="E8">
        <f t="shared" si="0"/>
        <v>133.9911794040643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1" x14ac:dyDescent="0.25">
      <c r="A9" s="179" t="s">
        <v>440</v>
      </c>
      <c r="B9" s="179"/>
      <c r="C9" s="101">
        <v>347.34</v>
      </c>
      <c r="D9">
        <f t="shared" si="0"/>
        <v>39.660119685824711</v>
      </c>
      <c r="E9">
        <f t="shared" si="0"/>
        <v>133.15926941777832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1" x14ac:dyDescent="0.25">
      <c r="A10" s="179" t="s">
        <v>441</v>
      </c>
      <c r="B10" s="179"/>
      <c r="C10" s="101">
        <v>256.69</v>
      </c>
      <c r="D10">
        <f t="shared" si="0"/>
        <v>29.309483854880934</v>
      </c>
      <c r="E10">
        <f t="shared" si="0"/>
        <v>98.406900635830937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1" x14ac:dyDescent="0.25">
      <c r="A11" s="179" t="s">
        <v>442</v>
      </c>
      <c r="B11" s="179"/>
      <c r="C11" s="101">
        <v>258.41000000000003</v>
      </c>
      <c r="D11">
        <f t="shared" si="0"/>
        <v>29.505877606995924</v>
      </c>
      <c r="E11">
        <f t="shared" si="0"/>
        <v>99.066294726343358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1" ht="15" customHeight="1" x14ac:dyDescent="0.25">
      <c r="A12" s="179" t="s">
        <v>443</v>
      </c>
      <c r="B12" s="179"/>
      <c r="C12" s="101">
        <v>174.65</v>
      </c>
      <c r="D12">
        <f>$C12/$C$18*D$18</f>
        <v>19.941958608652289</v>
      </c>
      <c r="E12">
        <f>$C12/$C$18*E$18</f>
        <v>66.955335993018323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1" ht="15" customHeight="1" thickBot="1" x14ac:dyDescent="0.3">
      <c r="A13" s="179" t="s">
        <v>444</v>
      </c>
      <c r="B13" s="179"/>
      <c r="C13" s="101">
        <v>173.1</v>
      </c>
      <c r="D13">
        <f t="shared" ref="D13:E17" si="1">$C13/$C$18*D$18</f>
        <v>19.764975866920761</v>
      </c>
      <c r="E13">
        <f t="shared" si="1"/>
        <v>66.361114574242606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1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1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1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2245.88</v>
      </c>
      <c r="D18" s="2">
        <v>256.44</v>
      </c>
      <c r="E18" s="2">
        <v>861</v>
      </c>
      <c r="F18" s="2"/>
      <c r="G18" s="2"/>
      <c r="H18" s="2"/>
      <c r="I18" s="2"/>
      <c r="J18" s="2"/>
    </row>
    <row r="19" spans="1:10" x14ac:dyDescent="0.25">
      <c r="F19" s="91"/>
    </row>
    <row r="20" spans="1:10" x14ac:dyDescent="0.25">
      <c r="F20" s="91"/>
    </row>
    <row r="21" spans="1:10" s="47" customFormat="1" ht="27" customHeight="1" x14ac:dyDescent="0.25">
      <c r="D21" s="38" t="str">
        <f t="shared" ref="D21:F21" si="2">D4</f>
        <v>300dne</v>
      </c>
      <c r="E21" s="38" t="str">
        <f t="shared" si="2"/>
        <v xml:space="preserve">150dne суровая </v>
      </c>
      <c r="F21" s="38">
        <f t="shared" si="2"/>
        <v>0</v>
      </c>
      <c r="G21" s="38">
        <f>G4</f>
        <v>0</v>
      </c>
      <c r="H21" s="48">
        <f t="shared" ref="H21:J21" si="3">H4</f>
        <v>0</v>
      </c>
      <c r="I21" s="48">
        <f t="shared" si="3"/>
        <v>0</v>
      </c>
      <c r="J21" s="48">
        <f t="shared" si="3"/>
        <v>0</v>
      </c>
    </row>
    <row r="22" spans="1:10" x14ac:dyDescent="0.25">
      <c r="A22" s="141" t="str">
        <f t="shared" ref="A22:A34" si="4">A5</f>
        <v xml:space="preserve">Производство 1172 от 17.02.2026 </v>
      </c>
      <c r="B22" s="141"/>
      <c r="C22" s="22">
        <f t="shared" ref="C22:C34" si="5">C5</f>
        <v>155.9</v>
      </c>
      <c r="D22">
        <f t="shared" ref="D22:J34" si="6">ROUND(D5,3)</f>
        <v>17.800999999999998</v>
      </c>
      <c r="E22">
        <f t="shared" si="6"/>
        <v>59.767000000000003</v>
      </c>
      <c r="F22">
        <f t="shared" si="6"/>
        <v>0</v>
      </c>
      <c r="G22">
        <f t="shared" si="6"/>
        <v>0</v>
      </c>
      <c r="H22">
        <f t="shared" si="6"/>
        <v>0</v>
      </c>
      <c r="I22">
        <f t="shared" si="6"/>
        <v>0</v>
      </c>
      <c r="J22">
        <f t="shared" si="6"/>
        <v>0</v>
      </c>
    </row>
    <row r="23" spans="1:10" x14ac:dyDescent="0.25">
      <c r="A23" s="141" t="str">
        <f t="shared" si="4"/>
        <v xml:space="preserve">Производство 1233 от 18.02.2026 </v>
      </c>
      <c r="B23" s="141"/>
      <c r="C23" s="22">
        <f t="shared" si="5"/>
        <v>265.02</v>
      </c>
      <c r="D23">
        <f t="shared" si="6"/>
        <v>30.260999999999999</v>
      </c>
      <c r="E23">
        <f t="shared" si="6"/>
        <v>101.6</v>
      </c>
      <c r="F23">
        <f t="shared" si="6"/>
        <v>0</v>
      </c>
      <c r="G23">
        <f t="shared" si="6"/>
        <v>0</v>
      </c>
      <c r="H23">
        <f t="shared" si="6"/>
        <v>0</v>
      </c>
      <c r="I23">
        <f t="shared" si="6"/>
        <v>0</v>
      </c>
      <c r="J23">
        <f t="shared" si="6"/>
        <v>0</v>
      </c>
    </row>
    <row r="24" spans="1:10" x14ac:dyDescent="0.25">
      <c r="A24" s="141" t="str">
        <f t="shared" si="4"/>
        <v xml:space="preserve">Производство 1264 от 19.02.2026 </v>
      </c>
      <c r="B24" s="141"/>
      <c r="C24" s="22">
        <f t="shared" si="5"/>
        <v>265.26</v>
      </c>
      <c r="D24">
        <f t="shared" si="6"/>
        <v>30.288</v>
      </c>
      <c r="E24">
        <f t="shared" si="6"/>
        <v>101.69199999999999</v>
      </c>
      <c r="F24">
        <f t="shared" si="6"/>
        <v>0</v>
      </c>
      <c r="G24">
        <f t="shared" si="6"/>
        <v>0</v>
      </c>
      <c r="H24">
        <f t="shared" si="6"/>
        <v>0</v>
      </c>
      <c r="I24">
        <f t="shared" si="6"/>
        <v>0</v>
      </c>
      <c r="J24">
        <f t="shared" si="6"/>
        <v>0</v>
      </c>
    </row>
    <row r="25" spans="1:10" x14ac:dyDescent="0.25">
      <c r="A25" s="141" t="str">
        <f t="shared" si="4"/>
        <v xml:space="preserve">Производство 1353 от 24.02.2026 </v>
      </c>
      <c r="B25" s="141"/>
      <c r="C25" s="22">
        <f t="shared" si="5"/>
        <v>349.51</v>
      </c>
      <c r="D25">
        <f t="shared" si="6"/>
        <v>39.908000000000001</v>
      </c>
      <c r="E25">
        <f t="shared" si="6"/>
        <v>133.99100000000001</v>
      </c>
      <c r="F25">
        <f t="shared" si="6"/>
        <v>0</v>
      </c>
      <c r="G25">
        <f t="shared" si="6"/>
        <v>0</v>
      </c>
      <c r="H25">
        <f t="shared" si="6"/>
        <v>0</v>
      </c>
      <c r="I25">
        <f t="shared" si="6"/>
        <v>0</v>
      </c>
      <c r="J25">
        <f t="shared" si="6"/>
        <v>0</v>
      </c>
    </row>
    <row r="26" spans="1:10" x14ac:dyDescent="0.25">
      <c r="A26" s="141" t="str">
        <f t="shared" si="4"/>
        <v xml:space="preserve">Производство 1360 от 25.02.2026 </v>
      </c>
      <c r="B26" s="141"/>
      <c r="C26" s="22">
        <f t="shared" si="5"/>
        <v>347.34</v>
      </c>
      <c r="D26">
        <f t="shared" si="6"/>
        <v>39.659999999999997</v>
      </c>
      <c r="E26">
        <f t="shared" si="6"/>
        <v>133.15899999999999</v>
      </c>
      <c r="F26">
        <f t="shared" si="6"/>
        <v>0</v>
      </c>
      <c r="G26">
        <f t="shared" si="6"/>
        <v>0</v>
      </c>
      <c r="H26">
        <f t="shared" si="6"/>
        <v>0</v>
      </c>
      <c r="I26">
        <f t="shared" si="6"/>
        <v>0</v>
      </c>
      <c r="J26">
        <f t="shared" si="6"/>
        <v>0</v>
      </c>
    </row>
    <row r="27" spans="1:10" x14ac:dyDescent="0.25">
      <c r="A27" s="141" t="str">
        <f t="shared" si="4"/>
        <v xml:space="preserve">Производство 1384 от 26.02.2026 </v>
      </c>
      <c r="B27" s="141"/>
      <c r="C27" s="22">
        <f t="shared" si="5"/>
        <v>256.69</v>
      </c>
      <c r="D27">
        <f t="shared" si="6"/>
        <v>29.309000000000001</v>
      </c>
      <c r="E27">
        <f t="shared" si="6"/>
        <v>98.406999999999996</v>
      </c>
      <c r="F27">
        <f t="shared" si="6"/>
        <v>0</v>
      </c>
      <c r="G27">
        <f t="shared" si="6"/>
        <v>0</v>
      </c>
      <c r="H27">
        <f t="shared" si="6"/>
        <v>0</v>
      </c>
      <c r="I27">
        <f t="shared" si="6"/>
        <v>0</v>
      </c>
      <c r="J27">
        <f t="shared" si="6"/>
        <v>0</v>
      </c>
    </row>
    <row r="28" spans="1:10" x14ac:dyDescent="0.25">
      <c r="A28" s="141" t="str">
        <f t="shared" si="4"/>
        <v xml:space="preserve">Производство 1426 от 27.02.2026 </v>
      </c>
      <c r="B28" s="141"/>
      <c r="C28" s="22">
        <f t="shared" si="5"/>
        <v>258.41000000000003</v>
      </c>
      <c r="D28">
        <f t="shared" si="6"/>
        <v>29.506</v>
      </c>
      <c r="E28">
        <f t="shared" si="6"/>
        <v>99.066000000000003</v>
      </c>
      <c r="F28">
        <f t="shared" si="6"/>
        <v>0</v>
      </c>
      <c r="G28">
        <f t="shared" si="6"/>
        <v>0</v>
      </c>
      <c r="H28">
        <f t="shared" si="6"/>
        <v>0</v>
      </c>
      <c r="I28">
        <f t="shared" si="6"/>
        <v>0</v>
      </c>
      <c r="J28">
        <f t="shared" si="6"/>
        <v>0</v>
      </c>
    </row>
    <row r="29" spans="1:10" x14ac:dyDescent="0.25">
      <c r="A29" s="141" t="str">
        <f t="shared" si="4"/>
        <v xml:space="preserve">Производство 1465 от 28.02.2026 </v>
      </c>
      <c r="B29" s="141"/>
      <c r="C29" s="22">
        <f t="shared" si="5"/>
        <v>174.65</v>
      </c>
      <c r="D29">
        <f t="shared" si="6"/>
        <v>19.942</v>
      </c>
      <c r="E29">
        <f t="shared" si="6"/>
        <v>66.954999999999998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</row>
    <row r="30" spans="1:10" ht="15.75" thickBot="1" x14ac:dyDescent="0.3">
      <c r="A30" s="141" t="str">
        <f t="shared" si="4"/>
        <v xml:space="preserve">Производство 1466 от 01.03.2026 </v>
      </c>
      <c r="B30" s="141"/>
      <c r="C30" s="22">
        <f t="shared" si="5"/>
        <v>173.1</v>
      </c>
      <c r="D30">
        <f t="shared" si="6"/>
        <v>19.765000000000001</v>
      </c>
      <c r="E30">
        <f t="shared" si="6"/>
        <v>66.361000000000004</v>
      </c>
      <c r="F30">
        <f t="shared" si="6"/>
        <v>0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0</v>
      </c>
    </row>
    <row r="31" spans="1:10" hidden="1" x14ac:dyDescent="0.25">
      <c r="A31" s="141">
        <f t="shared" si="4"/>
        <v>0</v>
      </c>
      <c r="B31" s="141"/>
      <c r="C31" s="22">
        <f t="shared" si="5"/>
        <v>0</v>
      </c>
      <c r="D31">
        <f t="shared" si="6"/>
        <v>0</v>
      </c>
      <c r="E31">
        <f t="shared" si="6"/>
        <v>0</v>
      </c>
      <c r="F31">
        <f t="shared" si="6"/>
        <v>0</v>
      </c>
      <c r="G31">
        <f t="shared" si="6"/>
        <v>0</v>
      </c>
      <c r="H31">
        <f t="shared" si="6"/>
        <v>0</v>
      </c>
      <c r="I31">
        <f t="shared" si="6"/>
        <v>0</v>
      </c>
      <c r="J31">
        <f t="shared" si="6"/>
        <v>0</v>
      </c>
    </row>
    <row r="32" spans="1:10" hidden="1" x14ac:dyDescent="0.25">
      <c r="A32" s="141">
        <f t="shared" si="4"/>
        <v>0</v>
      </c>
      <c r="B32" s="141"/>
      <c r="C32" s="22">
        <f t="shared" si="5"/>
        <v>0</v>
      </c>
      <c r="D32">
        <f t="shared" si="6"/>
        <v>0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6"/>
        <v>0</v>
      </c>
      <c r="I32">
        <f t="shared" si="6"/>
        <v>0</v>
      </c>
      <c r="J32">
        <f t="shared" si="6"/>
        <v>0</v>
      </c>
    </row>
    <row r="33" spans="1:10" hidden="1" x14ac:dyDescent="0.25">
      <c r="A33" s="141">
        <f t="shared" si="4"/>
        <v>0</v>
      </c>
      <c r="B33" s="141"/>
      <c r="C33" s="22">
        <f t="shared" si="5"/>
        <v>0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0</v>
      </c>
      <c r="H33">
        <f t="shared" si="6"/>
        <v>0</v>
      </c>
      <c r="I33">
        <f t="shared" si="6"/>
        <v>0</v>
      </c>
      <c r="J33">
        <f t="shared" si="6"/>
        <v>0</v>
      </c>
    </row>
    <row r="34" spans="1:10" ht="15.75" hidden="1" thickBot="1" x14ac:dyDescent="0.3">
      <c r="A34" s="141">
        <f t="shared" si="4"/>
        <v>0</v>
      </c>
      <c r="B34" s="141"/>
      <c r="C34" s="22">
        <f t="shared" si="5"/>
        <v>0</v>
      </c>
      <c r="D34">
        <f t="shared" si="6"/>
        <v>0</v>
      </c>
      <c r="E34">
        <f t="shared" si="6"/>
        <v>0</v>
      </c>
      <c r="F34">
        <f t="shared" si="6"/>
        <v>0</v>
      </c>
      <c r="G34">
        <f t="shared" si="6"/>
        <v>0</v>
      </c>
      <c r="H34">
        <f t="shared" si="6"/>
        <v>0</v>
      </c>
      <c r="I34">
        <f t="shared" si="6"/>
        <v>0</v>
      </c>
      <c r="J34">
        <f t="shared" si="6"/>
        <v>0</v>
      </c>
    </row>
    <row r="35" spans="1:10" ht="15" customHeight="1" x14ac:dyDescent="0.25">
      <c r="A35" s="137" t="s">
        <v>6</v>
      </c>
      <c r="B35" s="137"/>
      <c r="C35" s="12">
        <f>SUM(C22:C34)</f>
        <v>2245.88</v>
      </c>
      <c r="D35" s="2">
        <f>SUM(D22:D34)</f>
        <v>256.44</v>
      </c>
      <c r="E35" s="2">
        <f>SUM(E22:E34)</f>
        <v>860.99800000000005</v>
      </c>
      <c r="F35" s="2">
        <f t="shared" ref="F35:J35" si="7">SUM(F22:F34)</f>
        <v>0</v>
      </c>
      <c r="G35" s="2">
        <f t="shared" si="7"/>
        <v>0</v>
      </c>
      <c r="H35" s="2">
        <f t="shared" si="7"/>
        <v>0</v>
      </c>
      <c r="I35" s="2">
        <f t="shared" si="7"/>
        <v>0</v>
      </c>
      <c r="J35" s="2">
        <f t="shared" si="7"/>
        <v>0</v>
      </c>
    </row>
    <row r="38" spans="1:10" x14ac:dyDescent="0.25">
      <c r="D38" t="s">
        <v>107</v>
      </c>
      <c r="E38" t="s">
        <v>108</v>
      </c>
      <c r="F38" t="s">
        <v>109</v>
      </c>
    </row>
    <row r="39" spans="1:10" x14ac:dyDescent="0.25">
      <c r="C39" t="str">
        <f>D4</f>
        <v>300dne</v>
      </c>
      <c r="D39" s="98">
        <f>D18/C18</f>
        <v>0.11418241402033946</v>
      </c>
      <c r="E39" s="98">
        <v>0.122</v>
      </c>
      <c r="F39" s="29">
        <f>D39/E39-1</f>
        <v>-6.4078573603774891E-2</v>
      </c>
      <c r="G39" s="98"/>
      <c r="H39" s="98"/>
      <c r="I39" s="98"/>
      <c r="J39" s="98"/>
    </row>
    <row r="40" spans="1:10" x14ac:dyDescent="0.25">
      <c r="C40" t="str">
        <f>E4</f>
        <v xml:space="preserve">150dne суровая </v>
      </c>
      <c r="D40" s="98">
        <f>E18/C18</f>
        <v>0.38336865727465402</v>
      </c>
      <c r="E40" s="98">
        <v>0.38900000000000001</v>
      </c>
      <c r="F40" s="29">
        <f t="shared" ref="F40:F42" si="8">D40/E40-1</f>
        <v>-1.4476459448190204E-2</v>
      </c>
    </row>
    <row r="41" spans="1:10" hidden="1" x14ac:dyDescent="0.25">
      <c r="C41">
        <f>F4</f>
        <v>0</v>
      </c>
      <c r="D41" s="98">
        <f>F18/C18</f>
        <v>0</v>
      </c>
      <c r="E41" s="98">
        <v>0.21</v>
      </c>
      <c r="F41" s="29">
        <f t="shared" si="8"/>
        <v>-1</v>
      </c>
      <c r="G41" s="98"/>
      <c r="H41" s="98"/>
      <c r="I41" s="98"/>
      <c r="J41" s="98"/>
    </row>
    <row r="42" spans="1:10" hidden="1" x14ac:dyDescent="0.25">
      <c r="C42">
        <f>G4</f>
        <v>0</v>
      </c>
      <c r="D42" s="98">
        <f>G18/C18</f>
        <v>0</v>
      </c>
      <c r="E42" s="98">
        <v>0.114</v>
      </c>
      <c r="F42" s="29">
        <f t="shared" si="8"/>
        <v>-1</v>
      </c>
    </row>
    <row r="43" spans="1:10" x14ac:dyDescent="0.25">
      <c r="D43" s="98"/>
      <c r="E43" s="98"/>
      <c r="F43" s="50"/>
    </row>
    <row r="46" spans="1:10" x14ac:dyDescent="0.25">
      <c r="A46" s="138"/>
      <c r="B46" s="138"/>
      <c r="C46" s="138"/>
      <c r="D46" s="138"/>
      <c r="E46" s="138"/>
      <c r="F46" s="138"/>
      <c r="G46" s="138"/>
    </row>
  </sheetData>
  <mergeCells count="30">
    <mergeCell ref="A1:E1"/>
    <mergeCell ref="A24:B24"/>
    <mergeCell ref="A14:B14"/>
    <mergeCell ref="A15:B15"/>
    <mergeCell ref="A10:B10"/>
    <mergeCell ref="A11:B11"/>
    <mergeCell ref="A12:B12"/>
    <mergeCell ref="A13:B13"/>
    <mergeCell ref="A16:B16"/>
    <mergeCell ref="A17:B17"/>
    <mergeCell ref="A18:B18"/>
    <mergeCell ref="A22:B22"/>
    <mergeCell ref="A23:B23"/>
    <mergeCell ref="A5:B5"/>
    <mergeCell ref="A6:B6"/>
    <mergeCell ref="A7:B7"/>
    <mergeCell ref="A8:B8"/>
    <mergeCell ref="A9:B9"/>
    <mergeCell ref="A46:G4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</mergeCells>
  <pageMargins left="0.70866141732283472" right="0.70866141732283472" top="0.74803149606299213" bottom="0.74803149606299213" header="0.31496062992125984" footer="0.31496062992125984"/>
  <pageSetup paperSize="9" scale="8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tabSelected="1" topLeftCell="A3" zoomScale="90" zoomScaleNormal="90" workbookViewId="0">
      <selection activeCell="F39" sqref="F39:F42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546</v>
      </c>
      <c r="B1" s="138"/>
      <c r="C1" s="138"/>
      <c r="D1" s="138"/>
      <c r="E1" s="138"/>
      <c r="G1" s="88">
        <v>46111</v>
      </c>
    </row>
    <row r="2" spans="1:10" x14ac:dyDescent="0.25">
      <c r="A2" s="37"/>
      <c r="B2" s="119"/>
      <c r="C2" s="119"/>
      <c r="D2" s="119"/>
      <c r="E2" s="119"/>
    </row>
    <row r="3" spans="1:10" x14ac:dyDescent="0.25">
      <c r="A3" s="37" t="s">
        <v>547</v>
      </c>
      <c r="D3" t="s">
        <v>607</v>
      </c>
      <c r="E3" s="89" t="s">
        <v>548</v>
      </c>
    </row>
    <row r="4" spans="1:10" ht="30" x14ac:dyDescent="0.25">
      <c r="D4" s="38" t="s">
        <v>549</v>
      </c>
      <c r="E4" s="38" t="s">
        <v>215</v>
      </c>
      <c r="F4" s="38" t="s">
        <v>86</v>
      </c>
      <c r="G4" s="38" t="s">
        <v>134</v>
      </c>
      <c r="H4" s="4"/>
      <c r="I4" s="4"/>
      <c r="J4" s="4"/>
    </row>
    <row r="5" spans="1:10" ht="15" customHeight="1" x14ac:dyDescent="0.25">
      <c r="A5" s="189" t="s">
        <v>551</v>
      </c>
      <c r="B5" s="189"/>
      <c r="C5" s="125">
        <v>128.56</v>
      </c>
      <c r="D5">
        <f t="shared" ref="D5:J17" si="0">$C5/$C$18*D$18</f>
        <v>12.055134426229511</v>
      </c>
      <c r="E5">
        <f t="shared" si="0"/>
        <v>13.233810557978646</v>
      </c>
      <c r="F5">
        <f t="shared" si="0"/>
        <v>22.421915836967969</v>
      </c>
      <c r="G5">
        <f t="shared" si="0"/>
        <v>37.777962159723273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89" t="s">
        <v>552</v>
      </c>
      <c r="B6" s="189"/>
      <c r="C6" s="125">
        <v>49.2</v>
      </c>
      <c r="D6">
        <f t="shared" si="0"/>
        <v>4.6135081967213125</v>
      </c>
      <c r="E6">
        <f t="shared" si="0"/>
        <v>5.0645883591517533</v>
      </c>
      <c r="F6">
        <f t="shared" si="0"/>
        <v>8.5808825387276304</v>
      </c>
      <c r="G6">
        <f t="shared" si="0"/>
        <v>14.457651977741016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89" t="s">
        <v>553</v>
      </c>
      <c r="B7" s="189"/>
      <c r="C7" s="125">
        <v>110</v>
      </c>
      <c r="D7">
        <f t="shared" si="0"/>
        <v>10.314754098360659</v>
      </c>
      <c r="E7">
        <f t="shared" si="0"/>
        <v>11.323266656640099</v>
      </c>
      <c r="F7">
        <f t="shared" si="0"/>
        <v>19.18489998496015</v>
      </c>
      <c r="G7">
        <f t="shared" si="0"/>
        <v>32.324018649420971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x14ac:dyDescent="0.25">
      <c r="A8" s="189" t="s">
        <v>554</v>
      </c>
      <c r="B8" s="189"/>
      <c r="C8" s="125">
        <v>303.04000000000002</v>
      </c>
      <c r="D8">
        <f t="shared" si="0"/>
        <v>28.41620983606558</v>
      </c>
      <c r="E8">
        <f t="shared" si="0"/>
        <v>31.194570251165597</v>
      </c>
      <c r="F8">
        <f t="shared" si="0"/>
        <v>52.852655376748395</v>
      </c>
      <c r="G8">
        <f t="shared" si="0"/>
        <v>89.049732832004821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x14ac:dyDescent="0.25">
      <c r="A9" s="189" t="s">
        <v>555</v>
      </c>
      <c r="B9" s="189"/>
      <c r="C9" s="125">
        <v>361.85</v>
      </c>
      <c r="D9">
        <f t="shared" si="0"/>
        <v>33.9308524590164</v>
      </c>
      <c r="E9">
        <f t="shared" si="0"/>
        <v>37.248400360956545</v>
      </c>
      <c r="F9">
        <f t="shared" si="0"/>
        <v>63.109600541434823</v>
      </c>
      <c r="G9">
        <f t="shared" si="0"/>
        <v>106.33132862084526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x14ac:dyDescent="0.25">
      <c r="A10" s="189" t="s">
        <v>556</v>
      </c>
      <c r="B10" s="189"/>
      <c r="C10" s="125">
        <v>358.86</v>
      </c>
      <c r="D10">
        <f t="shared" si="0"/>
        <v>33.650478688524593</v>
      </c>
      <c r="E10">
        <f t="shared" si="0"/>
        <v>36.940613385471508</v>
      </c>
      <c r="F10">
        <f t="shared" si="0"/>
        <v>62.588120078207261</v>
      </c>
      <c r="G10">
        <f t="shared" si="0"/>
        <v>105.45270302301098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x14ac:dyDescent="0.25">
      <c r="A11" s="189" t="s">
        <v>557</v>
      </c>
      <c r="B11" s="189"/>
      <c r="C11" s="125">
        <v>285.63</v>
      </c>
      <c r="D11">
        <f t="shared" si="0"/>
        <v>26.783665573770495</v>
      </c>
      <c r="E11">
        <f t="shared" si="0"/>
        <v>29.402405955782829</v>
      </c>
      <c r="F11">
        <f t="shared" si="0"/>
        <v>49.816208933674247</v>
      </c>
      <c r="G11">
        <f t="shared" si="0"/>
        <v>83.933722243946463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customHeight="1" thickBot="1" x14ac:dyDescent="0.3">
      <c r="A12" s="189" t="s">
        <v>558</v>
      </c>
      <c r="B12" s="189"/>
      <c r="C12" s="125">
        <v>65.11</v>
      </c>
      <c r="D12">
        <f>$C12/$C$18*D$18</f>
        <v>6.1053967213114761</v>
      </c>
      <c r="E12">
        <f>$C12/$C$18*E$18</f>
        <v>6.7023444728530626</v>
      </c>
      <c r="F12">
        <f t="shared" si="0"/>
        <v>11.355716709279594</v>
      </c>
      <c r="G12">
        <f t="shared" si="0"/>
        <v>19.132880493307265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1662.2499999999998</v>
      </c>
      <c r="D18" s="2">
        <v>155.87</v>
      </c>
      <c r="E18" s="2">
        <v>171.11</v>
      </c>
      <c r="F18" s="2">
        <v>289.91000000000003</v>
      </c>
      <c r="G18" s="2">
        <v>488.46</v>
      </c>
      <c r="H18" s="2"/>
      <c r="I18" s="2"/>
      <c r="J18" s="2"/>
    </row>
    <row r="19" spans="1:10" x14ac:dyDescent="0.25">
      <c r="F19" s="91"/>
    </row>
    <row r="20" spans="1:10" x14ac:dyDescent="0.25">
      <c r="F20" s="91"/>
    </row>
    <row r="21" spans="1:10" s="47" customFormat="1" ht="27" customHeight="1" x14ac:dyDescent="0.25">
      <c r="D21" s="38" t="str">
        <f t="shared" ref="D21:F21" si="2">D4</f>
        <v>Нить 18,8текс №230</v>
      </c>
      <c r="E21" s="38" t="str">
        <f t="shared" si="2"/>
        <v xml:space="preserve">150dne суровая </v>
      </c>
      <c r="F21" s="38" t="str">
        <f t="shared" si="2"/>
        <v>Пряжа 20текс</v>
      </c>
      <c r="G21" s="38" t="str">
        <f>G4</f>
        <v>900dne Турция</v>
      </c>
      <c r="H21" s="48">
        <f t="shared" ref="H21:J21" si="3">H4</f>
        <v>0</v>
      </c>
      <c r="I21" s="48">
        <f t="shared" si="3"/>
        <v>0</v>
      </c>
      <c r="J21" s="48">
        <f t="shared" si="3"/>
        <v>0</v>
      </c>
    </row>
    <row r="22" spans="1:10" x14ac:dyDescent="0.25">
      <c r="A22" s="141" t="str">
        <f t="shared" ref="A22:A34" si="4">A5</f>
        <v xml:space="preserve">Производство 1935 от 19.03.2026 </v>
      </c>
      <c r="B22" s="141"/>
      <c r="C22" s="22">
        <f t="shared" ref="C22:C34" si="5">C5</f>
        <v>128.56</v>
      </c>
      <c r="D22">
        <f t="shared" ref="D22:J34" si="6">ROUND(D5,3)</f>
        <v>12.055</v>
      </c>
      <c r="E22">
        <f t="shared" si="6"/>
        <v>13.234</v>
      </c>
      <c r="F22">
        <f t="shared" si="6"/>
        <v>22.422000000000001</v>
      </c>
      <c r="G22">
        <f t="shared" si="6"/>
        <v>37.777999999999999</v>
      </c>
      <c r="H22">
        <f t="shared" si="6"/>
        <v>0</v>
      </c>
      <c r="I22">
        <f t="shared" si="6"/>
        <v>0</v>
      </c>
      <c r="J22">
        <f t="shared" si="6"/>
        <v>0</v>
      </c>
    </row>
    <row r="23" spans="1:10" x14ac:dyDescent="0.25">
      <c r="A23" s="141" t="str">
        <f t="shared" si="4"/>
        <v xml:space="preserve">Производство 1994 от 20.03.2026 </v>
      </c>
      <c r="B23" s="141"/>
      <c r="C23" s="22">
        <f t="shared" si="5"/>
        <v>49.2</v>
      </c>
      <c r="D23">
        <f t="shared" si="6"/>
        <v>4.6139999999999999</v>
      </c>
      <c r="E23">
        <f t="shared" si="6"/>
        <v>5.0650000000000004</v>
      </c>
      <c r="F23">
        <f t="shared" si="6"/>
        <v>8.5809999999999995</v>
      </c>
      <c r="G23">
        <f t="shared" si="6"/>
        <v>14.458</v>
      </c>
      <c r="H23">
        <f t="shared" si="6"/>
        <v>0</v>
      </c>
      <c r="I23">
        <f t="shared" si="6"/>
        <v>0</v>
      </c>
      <c r="J23">
        <f t="shared" si="6"/>
        <v>0</v>
      </c>
    </row>
    <row r="24" spans="1:10" x14ac:dyDescent="0.25">
      <c r="A24" s="141" t="str">
        <f t="shared" si="4"/>
        <v xml:space="preserve">Производство 2026 от 23.03.2026 </v>
      </c>
      <c r="B24" s="141"/>
      <c r="C24" s="22">
        <f t="shared" si="5"/>
        <v>110</v>
      </c>
      <c r="D24">
        <f t="shared" si="6"/>
        <v>10.315</v>
      </c>
      <c r="E24">
        <f t="shared" si="6"/>
        <v>11.323</v>
      </c>
      <c r="F24">
        <f t="shared" si="6"/>
        <v>19.184999999999999</v>
      </c>
      <c r="G24">
        <f t="shared" si="6"/>
        <v>32.323999999999998</v>
      </c>
      <c r="H24">
        <f t="shared" si="6"/>
        <v>0</v>
      </c>
      <c r="I24">
        <f t="shared" si="6"/>
        <v>0</v>
      </c>
      <c r="J24">
        <f t="shared" si="6"/>
        <v>0</v>
      </c>
    </row>
    <row r="25" spans="1:10" x14ac:dyDescent="0.25">
      <c r="A25" s="141" t="str">
        <f t="shared" si="4"/>
        <v xml:space="preserve">Производство 2066 от 24.03.2026 </v>
      </c>
      <c r="B25" s="141"/>
      <c r="C25" s="22">
        <f t="shared" si="5"/>
        <v>303.04000000000002</v>
      </c>
      <c r="D25">
        <f t="shared" si="6"/>
        <v>28.416</v>
      </c>
      <c r="E25">
        <f t="shared" si="6"/>
        <v>31.195</v>
      </c>
      <c r="F25">
        <f t="shared" si="6"/>
        <v>52.853000000000002</v>
      </c>
      <c r="G25">
        <f t="shared" si="6"/>
        <v>89.05</v>
      </c>
      <c r="H25">
        <f t="shared" si="6"/>
        <v>0</v>
      </c>
      <c r="I25">
        <f t="shared" si="6"/>
        <v>0</v>
      </c>
      <c r="J25">
        <f t="shared" si="6"/>
        <v>0</v>
      </c>
    </row>
    <row r="26" spans="1:10" x14ac:dyDescent="0.25">
      <c r="A26" s="141" t="str">
        <f t="shared" si="4"/>
        <v xml:space="preserve">Производство 2081 от 25.03.2026 </v>
      </c>
      <c r="B26" s="141"/>
      <c r="C26" s="22">
        <f t="shared" si="5"/>
        <v>361.85</v>
      </c>
      <c r="D26">
        <f t="shared" si="6"/>
        <v>33.930999999999997</v>
      </c>
      <c r="E26">
        <f t="shared" si="6"/>
        <v>37.247999999999998</v>
      </c>
      <c r="F26">
        <f t="shared" si="6"/>
        <v>63.11</v>
      </c>
      <c r="G26">
        <f t="shared" si="6"/>
        <v>106.331</v>
      </c>
      <c r="H26">
        <f t="shared" si="6"/>
        <v>0</v>
      </c>
      <c r="I26">
        <f t="shared" si="6"/>
        <v>0</v>
      </c>
      <c r="J26">
        <f t="shared" si="6"/>
        <v>0</v>
      </c>
    </row>
    <row r="27" spans="1:10" x14ac:dyDescent="0.25">
      <c r="A27" s="141" t="str">
        <f t="shared" si="4"/>
        <v xml:space="preserve">Производство 2084 от 26.03.2026 </v>
      </c>
      <c r="B27" s="141"/>
      <c r="C27" s="22">
        <f t="shared" si="5"/>
        <v>358.86</v>
      </c>
      <c r="D27">
        <f t="shared" si="6"/>
        <v>33.65</v>
      </c>
      <c r="E27">
        <f t="shared" si="6"/>
        <v>36.941000000000003</v>
      </c>
      <c r="F27">
        <f t="shared" si="6"/>
        <v>62.588000000000001</v>
      </c>
      <c r="G27">
        <f t="shared" si="6"/>
        <v>105.453</v>
      </c>
      <c r="H27">
        <f t="shared" si="6"/>
        <v>0</v>
      </c>
      <c r="I27">
        <f t="shared" si="6"/>
        <v>0</v>
      </c>
      <c r="J27">
        <f t="shared" si="6"/>
        <v>0</v>
      </c>
    </row>
    <row r="28" spans="1:10" x14ac:dyDescent="0.25">
      <c r="A28" s="141" t="str">
        <f t="shared" si="4"/>
        <v xml:space="preserve">Производство 2111 от 27.03.2026 </v>
      </c>
      <c r="B28" s="141"/>
      <c r="C28" s="22">
        <f t="shared" si="5"/>
        <v>285.63</v>
      </c>
      <c r="D28">
        <f t="shared" si="6"/>
        <v>26.783999999999999</v>
      </c>
      <c r="E28">
        <f t="shared" si="6"/>
        <v>29.402000000000001</v>
      </c>
      <c r="F28">
        <f t="shared" si="6"/>
        <v>49.816000000000003</v>
      </c>
      <c r="G28">
        <f t="shared" si="6"/>
        <v>83.933999999999997</v>
      </c>
      <c r="H28">
        <f t="shared" si="6"/>
        <v>0</v>
      </c>
      <c r="I28">
        <f t="shared" si="6"/>
        <v>0</v>
      </c>
      <c r="J28">
        <f t="shared" si="6"/>
        <v>0</v>
      </c>
    </row>
    <row r="29" spans="1:10" x14ac:dyDescent="0.25">
      <c r="A29" s="141" t="str">
        <f t="shared" si="4"/>
        <v xml:space="preserve">Производство 2119 от 28.03.2026 </v>
      </c>
      <c r="B29" s="141"/>
      <c r="C29" s="22">
        <f t="shared" si="5"/>
        <v>65.11</v>
      </c>
      <c r="D29">
        <f t="shared" si="6"/>
        <v>6.1050000000000004</v>
      </c>
      <c r="E29">
        <f t="shared" si="6"/>
        <v>6.702</v>
      </c>
      <c r="F29">
        <f t="shared" si="6"/>
        <v>11.356</v>
      </c>
      <c r="G29">
        <f t="shared" si="6"/>
        <v>19.132999999999999</v>
      </c>
      <c r="H29">
        <f t="shared" si="6"/>
        <v>0</v>
      </c>
      <c r="I29">
        <f t="shared" si="6"/>
        <v>0</v>
      </c>
      <c r="J29">
        <f t="shared" si="6"/>
        <v>0</v>
      </c>
    </row>
    <row r="30" spans="1:10" hidden="1" x14ac:dyDescent="0.25">
      <c r="A30" s="141">
        <f t="shared" si="4"/>
        <v>0</v>
      </c>
      <c r="B30" s="141"/>
      <c r="C30" s="22">
        <f t="shared" si="5"/>
        <v>0</v>
      </c>
      <c r="D30">
        <f t="shared" si="6"/>
        <v>0</v>
      </c>
      <c r="E30">
        <f t="shared" si="6"/>
        <v>0</v>
      </c>
      <c r="F30">
        <f t="shared" si="6"/>
        <v>0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0</v>
      </c>
    </row>
    <row r="31" spans="1:10" hidden="1" x14ac:dyDescent="0.25">
      <c r="A31" s="141">
        <f t="shared" si="4"/>
        <v>0</v>
      </c>
      <c r="B31" s="141"/>
      <c r="C31" s="22">
        <f t="shared" si="5"/>
        <v>0</v>
      </c>
      <c r="D31">
        <f t="shared" si="6"/>
        <v>0</v>
      </c>
      <c r="E31">
        <f t="shared" si="6"/>
        <v>0</v>
      </c>
      <c r="F31">
        <f t="shared" si="6"/>
        <v>0</v>
      </c>
      <c r="G31">
        <f t="shared" si="6"/>
        <v>0</v>
      </c>
      <c r="H31">
        <f t="shared" si="6"/>
        <v>0</v>
      </c>
      <c r="I31">
        <f t="shared" si="6"/>
        <v>0</v>
      </c>
      <c r="J31">
        <f t="shared" si="6"/>
        <v>0</v>
      </c>
    </row>
    <row r="32" spans="1:10" hidden="1" x14ac:dyDescent="0.25">
      <c r="A32" s="141">
        <f t="shared" si="4"/>
        <v>0</v>
      </c>
      <c r="B32" s="141"/>
      <c r="C32" s="22">
        <f t="shared" si="5"/>
        <v>0</v>
      </c>
      <c r="D32">
        <f t="shared" si="6"/>
        <v>0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6"/>
        <v>0</v>
      </c>
      <c r="I32">
        <f t="shared" si="6"/>
        <v>0</v>
      </c>
      <c r="J32">
        <f t="shared" si="6"/>
        <v>0</v>
      </c>
    </row>
    <row r="33" spans="1:10" hidden="1" x14ac:dyDescent="0.25">
      <c r="A33" s="141">
        <f t="shared" si="4"/>
        <v>0</v>
      </c>
      <c r="B33" s="141"/>
      <c r="C33" s="22">
        <f t="shared" si="5"/>
        <v>0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0</v>
      </c>
      <c r="H33">
        <f t="shared" si="6"/>
        <v>0</v>
      </c>
      <c r="I33">
        <f t="shared" si="6"/>
        <v>0</v>
      </c>
      <c r="J33">
        <f t="shared" si="6"/>
        <v>0</v>
      </c>
    </row>
    <row r="34" spans="1:10" ht="0.75" customHeight="1" thickBot="1" x14ac:dyDescent="0.3">
      <c r="A34" s="141">
        <f t="shared" si="4"/>
        <v>0</v>
      </c>
      <c r="B34" s="141"/>
      <c r="C34" s="22">
        <f t="shared" si="5"/>
        <v>0</v>
      </c>
      <c r="D34">
        <f t="shared" si="6"/>
        <v>0</v>
      </c>
      <c r="E34">
        <f t="shared" si="6"/>
        <v>0</v>
      </c>
      <c r="F34">
        <f t="shared" si="6"/>
        <v>0</v>
      </c>
      <c r="G34">
        <f t="shared" si="6"/>
        <v>0</v>
      </c>
      <c r="H34">
        <f t="shared" si="6"/>
        <v>0</v>
      </c>
      <c r="I34">
        <f t="shared" si="6"/>
        <v>0</v>
      </c>
      <c r="J34">
        <f t="shared" si="6"/>
        <v>0</v>
      </c>
    </row>
    <row r="35" spans="1:10" ht="15" customHeight="1" x14ac:dyDescent="0.25">
      <c r="A35" s="137" t="s">
        <v>6</v>
      </c>
      <c r="B35" s="137"/>
      <c r="C35" s="12">
        <f>SUM(C22:C34)</f>
        <v>1662.2499999999998</v>
      </c>
      <c r="D35" s="2">
        <f>SUM(D22:D34)</f>
        <v>155.86999999999998</v>
      </c>
      <c r="E35" s="2">
        <f>SUM(E22:E34)</f>
        <v>171.11</v>
      </c>
      <c r="F35" s="2">
        <f t="shared" ref="F35:J35" si="7">SUM(F22:F34)</f>
        <v>289.911</v>
      </c>
      <c r="G35" s="2">
        <f t="shared" si="7"/>
        <v>488.46099999999996</v>
      </c>
      <c r="H35" s="2">
        <f t="shared" si="7"/>
        <v>0</v>
      </c>
      <c r="I35" s="2">
        <f t="shared" si="7"/>
        <v>0</v>
      </c>
      <c r="J35" s="2">
        <f t="shared" si="7"/>
        <v>0</v>
      </c>
    </row>
    <row r="37" spans="1:10" x14ac:dyDescent="0.25">
      <c r="C37" s="122" t="s">
        <v>550</v>
      </c>
      <c r="D37" s="186"/>
      <c r="E37" s="187"/>
      <c r="F37" s="188"/>
    </row>
    <row r="38" spans="1:10" x14ac:dyDescent="0.25">
      <c r="C38" s="118"/>
      <c r="D38" s="118" t="s">
        <v>107</v>
      </c>
      <c r="E38" s="118" t="s">
        <v>108</v>
      </c>
      <c r="F38" s="118" t="s">
        <v>109</v>
      </c>
    </row>
    <row r="39" spans="1:10" x14ac:dyDescent="0.25">
      <c r="C39" s="118" t="str">
        <f>D4</f>
        <v>Нить 18,8текс №230</v>
      </c>
      <c r="D39" s="123">
        <f>D18/C18</f>
        <v>9.3770491803278705E-2</v>
      </c>
      <c r="E39" s="123">
        <v>9.7000000000000003E-2</v>
      </c>
      <c r="F39" s="124">
        <f>D39/E39-1</f>
        <v>-3.3293898935271127E-2</v>
      </c>
      <c r="G39" s="119"/>
      <c r="H39" s="119"/>
      <c r="I39" s="119"/>
      <c r="J39" s="119"/>
    </row>
    <row r="40" spans="1:10" x14ac:dyDescent="0.25">
      <c r="C40" s="118" t="str">
        <f>E4</f>
        <v xml:space="preserve">150dne суровая </v>
      </c>
      <c r="D40" s="123">
        <f>E18/C18</f>
        <v>0.10293878778763726</v>
      </c>
      <c r="E40" s="123">
        <v>0.11700000000000001</v>
      </c>
      <c r="F40" s="124">
        <f t="shared" ref="F40:F42" si="8">D40/E40-1</f>
        <v>-0.12018130096036528</v>
      </c>
    </row>
    <row r="41" spans="1:10" x14ac:dyDescent="0.25">
      <c r="C41" s="118" t="str">
        <f>F4</f>
        <v>Пряжа 20текс</v>
      </c>
      <c r="D41" s="123">
        <f>F18/C18</f>
        <v>0.17440818168145589</v>
      </c>
      <c r="E41" s="123">
        <v>0.14099999999999999</v>
      </c>
      <c r="F41" s="124">
        <f t="shared" si="8"/>
        <v>0.23693745873372984</v>
      </c>
      <c r="G41" s="119"/>
      <c r="H41" s="119"/>
      <c r="I41" s="119"/>
      <c r="J41" s="119"/>
    </row>
    <row r="42" spans="1:10" x14ac:dyDescent="0.25">
      <c r="C42" s="118" t="str">
        <f>G4</f>
        <v>900dne Турция</v>
      </c>
      <c r="D42" s="123">
        <f>G18/C18</f>
        <v>0.29385471499473609</v>
      </c>
      <c r="E42" s="123">
        <v>0.27600000000000002</v>
      </c>
      <c r="F42" s="124">
        <f t="shared" si="8"/>
        <v>6.4690996357739339E-2</v>
      </c>
    </row>
    <row r="43" spans="1:10" x14ac:dyDescent="0.25">
      <c r="D43" s="119"/>
      <c r="E43" s="119"/>
      <c r="F43" s="50"/>
    </row>
    <row r="45" spans="1:10" ht="21" x14ac:dyDescent="0.35">
      <c r="C45" s="199">
        <v>1810.24</v>
      </c>
      <c r="D45" s="199" t="s">
        <v>395</v>
      </c>
    </row>
    <row r="46" spans="1:10" x14ac:dyDescent="0.25">
      <c r="A46" s="138" t="s">
        <v>533</v>
      </c>
      <c r="B46" s="138"/>
      <c r="C46" s="138"/>
      <c r="D46" s="138"/>
      <c r="E46" s="138"/>
      <c r="F46" s="138"/>
      <c r="G46" s="138"/>
    </row>
    <row r="47" spans="1:10" x14ac:dyDescent="0.25">
      <c r="C47" s="118" t="str">
        <f>C39</f>
        <v>Нить 18,8текс №230</v>
      </c>
      <c r="D47" s="123">
        <f>D18/C45</f>
        <v>8.6104604914265512E-2</v>
      </c>
      <c r="E47" s="88">
        <v>46120</v>
      </c>
    </row>
    <row r="48" spans="1:10" x14ac:dyDescent="0.25">
      <c r="C48" s="118" t="str">
        <f t="shared" ref="C48:C50" si="9">C40</f>
        <v xml:space="preserve">150dne суровая </v>
      </c>
      <c r="D48" s="123">
        <f>E18/C45</f>
        <v>9.4523378115608986E-2</v>
      </c>
    </row>
    <row r="49" spans="3:4" x14ac:dyDescent="0.25">
      <c r="C49" s="118" t="str">
        <f t="shared" si="9"/>
        <v>Пряжа 20текс</v>
      </c>
      <c r="D49" s="123">
        <f>F18/C45</f>
        <v>0.16015003535442815</v>
      </c>
    </row>
    <row r="50" spans="3:4" x14ac:dyDescent="0.25">
      <c r="C50" s="118" t="str">
        <f t="shared" si="9"/>
        <v>900dne Турция</v>
      </c>
      <c r="D50" s="123">
        <f>G18/C45</f>
        <v>0.26983162453597309</v>
      </c>
    </row>
  </sheetData>
  <mergeCells count="31">
    <mergeCell ref="A17:B17"/>
    <mergeCell ref="A18:B18"/>
    <mergeCell ref="A13:B13"/>
    <mergeCell ref="A14:B14"/>
    <mergeCell ref="A15:B15"/>
    <mergeCell ref="A1:E1"/>
    <mergeCell ref="A5:B5"/>
    <mergeCell ref="A6:B6"/>
    <mergeCell ref="A7:B7"/>
    <mergeCell ref="A8:B8"/>
    <mergeCell ref="A9:B9"/>
    <mergeCell ref="A10:B10"/>
    <mergeCell ref="A11:B11"/>
    <mergeCell ref="A12:B12"/>
    <mergeCell ref="A32:B32"/>
    <mergeCell ref="A22:B22"/>
    <mergeCell ref="A23:B23"/>
    <mergeCell ref="A31:B31"/>
    <mergeCell ref="A25:B25"/>
    <mergeCell ref="A26:B26"/>
    <mergeCell ref="A27:B27"/>
    <mergeCell ref="A28:B28"/>
    <mergeCell ref="A29:B29"/>
    <mergeCell ref="A30:B30"/>
    <mergeCell ref="A24:B24"/>
    <mergeCell ref="A16:B16"/>
    <mergeCell ref="A33:B33"/>
    <mergeCell ref="A34:B34"/>
    <mergeCell ref="A35:B35"/>
    <mergeCell ref="A46:G46"/>
    <mergeCell ref="D37:F3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workbookViewId="0">
      <selection activeCell="D4" sqref="D4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559</v>
      </c>
      <c r="B1" s="138"/>
      <c r="C1" s="138"/>
      <c r="D1" s="138"/>
      <c r="E1" s="138"/>
      <c r="G1" s="88">
        <v>46112</v>
      </c>
    </row>
    <row r="2" spans="1:10" x14ac:dyDescent="0.25">
      <c r="A2" s="37"/>
      <c r="B2" s="121"/>
      <c r="C2" s="121"/>
      <c r="D2" s="121"/>
      <c r="E2" s="121"/>
    </row>
    <row r="3" spans="1:10" x14ac:dyDescent="0.25">
      <c r="A3" s="37" t="s">
        <v>560</v>
      </c>
      <c r="D3" t="s">
        <v>191</v>
      </c>
      <c r="E3" s="89" t="s">
        <v>561</v>
      </c>
    </row>
    <row r="4" spans="1:10" ht="30" x14ac:dyDescent="0.25">
      <c r="D4" s="38" t="s">
        <v>562</v>
      </c>
      <c r="E4" s="38" t="s">
        <v>563</v>
      </c>
      <c r="F4" s="38" t="s">
        <v>564</v>
      </c>
      <c r="G4" s="38" t="s">
        <v>143</v>
      </c>
      <c r="H4" s="4"/>
      <c r="I4" s="4"/>
      <c r="J4" s="4"/>
    </row>
    <row r="5" spans="1:10" ht="15" customHeight="1" x14ac:dyDescent="0.25">
      <c r="A5" s="190" t="s">
        <v>565</v>
      </c>
      <c r="B5" s="190"/>
      <c r="C5" s="127">
        <v>49.78</v>
      </c>
      <c r="D5">
        <f t="shared" ref="D5:J17" si="0">$C5/$C$18*D$18</f>
        <v>14.808258709985326</v>
      </c>
      <c r="E5">
        <f t="shared" si="0"/>
        <v>7.724862036660598</v>
      </c>
      <c r="F5">
        <f t="shared" si="0"/>
        <v>3.2557226945716153</v>
      </c>
      <c r="G5">
        <f t="shared" si="0"/>
        <v>6.7402259028158298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90" t="s">
        <v>566</v>
      </c>
      <c r="B6" s="190"/>
      <c r="C6" s="127">
        <v>267.23</v>
      </c>
      <c r="D6">
        <f t="shared" si="0"/>
        <v>79.493993070899549</v>
      </c>
      <c r="E6">
        <f t="shared" si="0"/>
        <v>41.468760185954437</v>
      </c>
      <c r="F6">
        <f t="shared" si="0"/>
        <v>17.477436232831916</v>
      </c>
      <c r="G6">
        <f t="shared" si="0"/>
        <v>36.183016633376347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thickBot="1" x14ac:dyDescent="0.3">
      <c r="A7" s="190" t="s">
        <v>567</v>
      </c>
      <c r="B7" s="190"/>
      <c r="C7" s="127">
        <v>248.72</v>
      </c>
      <c r="D7">
        <f t="shared" si="0"/>
        <v>73.987748219115119</v>
      </c>
      <c r="E7">
        <f t="shared" si="0"/>
        <v>38.596377777384973</v>
      </c>
      <c r="F7">
        <f t="shared" si="0"/>
        <v>16.266841072596467</v>
      </c>
      <c r="G7">
        <f t="shared" si="0"/>
        <v>33.676757463807817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hidden="1" customHeight="1" x14ac:dyDescent="0.25">
      <c r="A8" s="189"/>
      <c r="B8" s="189"/>
      <c r="C8" s="125"/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idden="1" x14ac:dyDescent="0.25">
      <c r="A9" s="189"/>
      <c r="B9" s="189"/>
      <c r="C9" s="125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idden="1" x14ac:dyDescent="0.25">
      <c r="A10" s="189"/>
      <c r="B10" s="189"/>
      <c r="C10" s="125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idden="1" x14ac:dyDescent="0.25">
      <c r="A11" s="189"/>
      <c r="B11" s="189"/>
      <c r="C11" s="125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thickBot="1" x14ac:dyDescent="0.3">
      <c r="A12" s="189"/>
      <c r="B12" s="189"/>
      <c r="C12" s="125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565.73</v>
      </c>
      <c r="D18" s="2">
        <v>168.29</v>
      </c>
      <c r="E18" s="2">
        <v>87.79</v>
      </c>
      <c r="F18" s="2">
        <v>37</v>
      </c>
      <c r="G18" s="2">
        <v>76.599999999999994</v>
      </c>
      <c r="H18" s="2"/>
      <c r="I18" s="2"/>
      <c r="J18" s="2"/>
    </row>
    <row r="19" spans="1:10" x14ac:dyDescent="0.25">
      <c r="F19" s="91"/>
    </row>
    <row r="20" spans="1:10" x14ac:dyDescent="0.25">
      <c r="F20" s="91"/>
    </row>
    <row r="21" spans="1:10" s="47" customFormat="1" ht="27" customHeight="1" x14ac:dyDescent="0.25">
      <c r="D21" s="38" t="str">
        <f t="shared" ref="D21:F21" si="2">D4</f>
        <v>Пряжа (хл-виск-лен) 20текс</v>
      </c>
      <c r="E21" s="38" t="str">
        <f t="shared" si="2"/>
        <v xml:space="preserve">300dne Турция </v>
      </c>
      <c r="F21" s="38" t="str">
        <f t="shared" si="2"/>
        <v>Трилобал неокраш</v>
      </c>
      <c r="G21" s="38" t="str">
        <f>G4</f>
        <v>150dne суровая</v>
      </c>
      <c r="H21" s="48">
        <f t="shared" ref="H21:J21" si="3">H4</f>
        <v>0</v>
      </c>
      <c r="I21" s="48">
        <f t="shared" si="3"/>
        <v>0</v>
      </c>
      <c r="J21" s="48">
        <f t="shared" si="3"/>
        <v>0</v>
      </c>
    </row>
    <row r="22" spans="1:10" x14ac:dyDescent="0.25">
      <c r="A22" s="141" t="str">
        <f t="shared" ref="A22:A34" si="4">A5</f>
        <v xml:space="preserve">Производство 2064 от 24.03.2026 </v>
      </c>
      <c r="B22" s="141"/>
      <c r="C22" s="22">
        <f t="shared" ref="C22:C34" si="5">C5</f>
        <v>49.78</v>
      </c>
      <c r="D22">
        <f t="shared" ref="D22:J34" si="6">ROUND(D5,3)</f>
        <v>14.808</v>
      </c>
      <c r="E22">
        <f t="shared" si="6"/>
        <v>7.7249999999999996</v>
      </c>
      <c r="F22">
        <f t="shared" si="6"/>
        <v>3.2559999999999998</v>
      </c>
      <c r="G22">
        <f t="shared" si="6"/>
        <v>6.74</v>
      </c>
      <c r="H22">
        <f t="shared" si="6"/>
        <v>0</v>
      </c>
      <c r="I22">
        <f t="shared" si="6"/>
        <v>0</v>
      </c>
      <c r="J22">
        <f t="shared" si="6"/>
        <v>0</v>
      </c>
    </row>
    <row r="23" spans="1:10" x14ac:dyDescent="0.25">
      <c r="A23" s="141" t="str">
        <f t="shared" si="4"/>
        <v xml:space="preserve">Производство 2076 от 25.03.2026 </v>
      </c>
      <c r="B23" s="141"/>
      <c r="C23" s="22">
        <f t="shared" si="5"/>
        <v>267.23</v>
      </c>
      <c r="D23">
        <f t="shared" si="6"/>
        <v>79.494</v>
      </c>
      <c r="E23">
        <f t="shared" si="6"/>
        <v>41.469000000000001</v>
      </c>
      <c r="F23">
        <f t="shared" si="6"/>
        <v>17.477</v>
      </c>
      <c r="G23">
        <f t="shared" si="6"/>
        <v>36.183</v>
      </c>
      <c r="H23">
        <f t="shared" si="6"/>
        <v>0</v>
      </c>
      <c r="I23">
        <f t="shared" si="6"/>
        <v>0</v>
      </c>
      <c r="J23">
        <f t="shared" si="6"/>
        <v>0</v>
      </c>
    </row>
    <row r="24" spans="1:10" x14ac:dyDescent="0.25">
      <c r="A24" s="141" t="str">
        <f t="shared" si="4"/>
        <v xml:space="preserve">Производство 2106 от 26.03.2026 </v>
      </c>
      <c r="B24" s="141"/>
      <c r="C24" s="22">
        <f t="shared" si="5"/>
        <v>248.72</v>
      </c>
      <c r="D24">
        <f t="shared" si="6"/>
        <v>73.988</v>
      </c>
      <c r="E24">
        <f t="shared" si="6"/>
        <v>38.595999999999997</v>
      </c>
      <c r="F24">
        <f t="shared" si="6"/>
        <v>16.266999999999999</v>
      </c>
      <c r="G24">
        <f t="shared" si="6"/>
        <v>33.677</v>
      </c>
      <c r="H24">
        <f t="shared" si="6"/>
        <v>0</v>
      </c>
      <c r="I24">
        <f t="shared" si="6"/>
        <v>0</v>
      </c>
      <c r="J24">
        <f t="shared" si="6"/>
        <v>0</v>
      </c>
    </row>
    <row r="25" spans="1:10" hidden="1" x14ac:dyDescent="0.25">
      <c r="A25" s="141">
        <f t="shared" si="4"/>
        <v>0</v>
      </c>
      <c r="B25" s="141"/>
      <c r="C25" s="22">
        <f t="shared" si="5"/>
        <v>0</v>
      </c>
      <c r="D25">
        <f t="shared" si="6"/>
        <v>0</v>
      </c>
      <c r="E25">
        <f t="shared" si="6"/>
        <v>0</v>
      </c>
      <c r="F25">
        <f t="shared" si="6"/>
        <v>0</v>
      </c>
      <c r="G25">
        <f t="shared" si="6"/>
        <v>0</v>
      </c>
      <c r="H25">
        <f t="shared" si="6"/>
        <v>0</v>
      </c>
      <c r="I25">
        <f t="shared" si="6"/>
        <v>0</v>
      </c>
      <c r="J25">
        <f t="shared" si="6"/>
        <v>0</v>
      </c>
    </row>
    <row r="26" spans="1:10" hidden="1" x14ac:dyDescent="0.25">
      <c r="A26" s="141">
        <f t="shared" si="4"/>
        <v>0</v>
      </c>
      <c r="B26" s="141"/>
      <c r="C26" s="22">
        <f t="shared" si="5"/>
        <v>0</v>
      </c>
      <c r="D26">
        <f t="shared" si="6"/>
        <v>0</v>
      </c>
      <c r="E26">
        <f t="shared" si="6"/>
        <v>0</v>
      </c>
      <c r="F26">
        <f t="shared" si="6"/>
        <v>0</v>
      </c>
      <c r="G26">
        <f t="shared" si="6"/>
        <v>0</v>
      </c>
      <c r="H26">
        <f t="shared" si="6"/>
        <v>0</v>
      </c>
      <c r="I26">
        <f t="shared" si="6"/>
        <v>0</v>
      </c>
      <c r="J26">
        <f t="shared" si="6"/>
        <v>0</v>
      </c>
    </row>
    <row r="27" spans="1:10" hidden="1" x14ac:dyDescent="0.25">
      <c r="A27" s="141">
        <f t="shared" si="4"/>
        <v>0</v>
      </c>
      <c r="B27" s="141"/>
      <c r="C27" s="22">
        <f t="shared" si="5"/>
        <v>0</v>
      </c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0</v>
      </c>
      <c r="H27">
        <f t="shared" si="6"/>
        <v>0</v>
      </c>
      <c r="I27">
        <f t="shared" si="6"/>
        <v>0</v>
      </c>
      <c r="J27">
        <f t="shared" si="6"/>
        <v>0</v>
      </c>
    </row>
    <row r="28" spans="1:10" hidden="1" x14ac:dyDescent="0.25">
      <c r="A28" s="141">
        <f t="shared" si="4"/>
        <v>0</v>
      </c>
      <c r="B28" s="141"/>
      <c r="C28" s="22">
        <f t="shared" si="5"/>
        <v>0</v>
      </c>
      <c r="D28">
        <f t="shared" si="6"/>
        <v>0</v>
      </c>
      <c r="E28">
        <f t="shared" si="6"/>
        <v>0</v>
      </c>
      <c r="F28">
        <f t="shared" si="6"/>
        <v>0</v>
      </c>
      <c r="G28">
        <f t="shared" si="6"/>
        <v>0</v>
      </c>
      <c r="H28">
        <f t="shared" si="6"/>
        <v>0</v>
      </c>
      <c r="I28">
        <f t="shared" si="6"/>
        <v>0</v>
      </c>
      <c r="J28">
        <f t="shared" si="6"/>
        <v>0</v>
      </c>
    </row>
    <row r="29" spans="1:10" hidden="1" x14ac:dyDescent="0.25">
      <c r="A29" s="141">
        <f t="shared" si="4"/>
        <v>0</v>
      </c>
      <c r="B29" s="141"/>
      <c r="C29" s="22">
        <f t="shared" si="5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</row>
    <row r="30" spans="1:10" hidden="1" x14ac:dyDescent="0.25">
      <c r="A30" s="141">
        <f t="shared" si="4"/>
        <v>0</v>
      </c>
      <c r="B30" s="141"/>
      <c r="C30" s="22">
        <f t="shared" si="5"/>
        <v>0</v>
      </c>
      <c r="D30">
        <f t="shared" si="6"/>
        <v>0</v>
      </c>
      <c r="E30">
        <f t="shared" si="6"/>
        <v>0</v>
      </c>
      <c r="F30">
        <f t="shared" si="6"/>
        <v>0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0</v>
      </c>
    </row>
    <row r="31" spans="1:10" hidden="1" x14ac:dyDescent="0.25">
      <c r="A31" s="141">
        <f t="shared" si="4"/>
        <v>0</v>
      </c>
      <c r="B31" s="141"/>
      <c r="C31" s="22">
        <f t="shared" si="5"/>
        <v>0</v>
      </c>
      <c r="D31">
        <f t="shared" si="6"/>
        <v>0</v>
      </c>
      <c r="E31">
        <f t="shared" si="6"/>
        <v>0</v>
      </c>
      <c r="F31">
        <f t="shared" si="6"/>
        <v>0</v>
      </c>
      <c r="G31">
        <f t="shared" si="6"/>
        <v>0</v>
      </c>
      <c r="H31">
        <f t="shared" si="6"/>
        <v>0</v>
      </c>
      <c r="I31">
        <f t="shared" si="6"/>
        <v>0</v>
      </c>
      <c r="J31">
        <f t="shared" si="6"/>
        <v>0</v>
      </c>
    </row>
    <row r="32" spans="1:10" hidden="1" x14ac:dyDescent="0.25">
      <c r="A32" s="141">
        <f t="shared" si="4"/>
        <v>0</v>
      </c>
      <c r="B32" s="141"/>
      <c r="C32" s="22">
        <f t="shared" si="5"/>
        <v>0</v>
      </c>
      <c r="D32">
        <f t="shared" si="6"/>
        <v>0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6"/>
        <v>0</v>
      </c>
      <c r="I32">
        <f t="shared" si="6"/>
        <v>0</v>
      </c>
      <c r="J32">
        <f t="shared" si="6"/>
        <v>0</v>
      </c>
    </row>
    <row r="33" spans="1:10" hidden="1" x14ac:dyDescent="0.25">
      <c r="A33" s="141">
        <f t="shared" si="4"/>
        <v>0</v>
      </c>
      <c r="B33" s="141"/>
      <c r="C33" s="22">
        <f t="shared" si="5"/>
        <v>0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0</v>
      </c>
      <c r="H33">
        <f t="shared" si="6"/>
        <v>0</v>
      </c>
      <c r="I33">
        <f t="shared" si="6"/>
        <v>0</v>
      </c>
      <c r="J33">
        <f t="shared" si="6"/>
        <v>0</v>
      </c>
    </row>
    <row r="34" spans="1:10" ht="0.75" customHeight="1" thickBot="1" x14ac:dyDescent="0.3">
      <c r="A34" s="141">
        <f t="shared" si="4"/>
        <v>0</v>
      </c>
      <c r="B34" s="141"/>
      <c r="C34" s="22">
        <f t="shared" si="5"/>
        <v>0</v>
      </c>
      <c r="D34">
        <f t="shared" si="6"/>
        <v>0</v>
      </c>
      <c r="E34">
        <f t="shared" si="6"/>
        <v>0</v>
      </c>
      <c r="F34">
        <f t="shared" si="6"/>
        <v>0</v>
      </c>
      <c r="G34">
        <f t="shared" si="6"/>
        <v>0</v>
      </c>
      <c r="H34">
        <f t="shared" si="6"/>
        <v>0</v>
      </c>
      <c r="I34">
        <f t="shared" si="6"/>
        <v>0</v>
      </c>
      <c r="J34">
        <f t="shared" si="6"/>
        <v>0</v>
      </c>
    </row>
    <row r="35" spans="1:10" ht="15" customHeight="1" x14ac:dyDescent="0.25">
      <c r="A35" s="137" t="s">
        <v>6</v>
      </c>
      <c r="B35" s="137"/>
      <c r="C35" s="12">
        <f>SUM(C22:C34)</f>
        <v>565.73</v>
      </c>
      <c r="D35" s="2">
        <f>SUM(D22:D34)</f>
        <v>168.29</v>
      </c>
      <c r="E35" s="2">
        <f>SUM(E22:E34)</f>
        <v>87.789999999999992</v>
      </c>
      <c r="F35" s="2">
        <f t="shared" ref="F35:J35" si="7">SUM(F22:F34)</f>
        <v>37</v>
      </c>
      <c r="G35" s="2">
        <f t="shared" si="7"/>
        <v>76.599999999999994</v>
      </c>
      <c r="H35" s="2">
        <f t="shared" si="7"/>
        <v>0</v>
      </c>
      <c r="I35" s="2">
        <f t="shared" si="7"/>
        <v>0</v>
      </c>
      <c r="J35" s="2">
        <f t="shared" si="7"/>
        <v>0</v>
      </c>
    </row>
    <row r="37" spans="1:10" x14ac:dyDescent="0.25">
      <c r="C37" s="122" t="s">
        <v>550</v>
      </c>
      <c r="D37" s="186"/>
      <c r="E37" s="187"/>
      <c r="F37" s="188"/>
    </row>
    <row r="38" spans="1:10" x14ac:dyDescent="0.25">
      <c r="C38" s="118"/>
      <c r="D38" s="118" t="s">
        <v>107</v>
      </c>
      <c r="E38" s="118" t="s">
        <v>108</v>
      </c>
      <c r="F38" s="118" t="s">
        <v>109</v>
      </c>
    </row>
    <row r="39" spans="1:10" x14ac:dyDescent="0.25">
      <c r="C39" s="128" t="str">
        <f>D4</f>
        <v>Пряжа (хл-виск-лен) 20текс</v>
      </c>
      <c r="D39" s="123">
        <f>D18/C18</f>
        <v>0.29747406006398808</v>
      </c>
      <c r="E39" s="123"/>
      <c r="F39" s="124" t="e">
        <f>D39/E39-1</f>
        <v>#DIV/0!</v>
      </c>
      <c r="G39" s="121"/>
      <c r="H39" s="121"/>
      <c r="I39" s="121"/>
      <c r="J39" s="121"/>
    </row>
    <row r="40" spans="1:10" x14ac:dyDescent="0.25">
      <c r="C40" s="118" t="str">
        <f>E4</f>
        <v xml:space="preserve">300dne Турция </v>
      </c>
      <c r="D40" s="123">
        <f>E18/C18</f>
        <v>0.1551800328778746</v>
      </c>
      <c r="E40" s="123"/>
      <c r="F40" s="124" t="e">
        <f t="shared" ref="F40:F42" si="8">D40/E40-1</f>
        <v>#DIV/0!</v>
      </c>
    </row>
    <row r="41" spans="1:10" x14ac:dyDescent="0.25">
      <c r="C41" s="128" t="str">
        <f>F4</f>
        <v>Трилобал неокраш</v>
      </c>
      <c r="D41" s="123">
        <f>F18/C18</f>
        <v>6.540222367560497E-2</v>
      </c>
      <c r="E41" s="123"/>
      <c r="F41" s="124" t="e">
        <f t="shared" si="8"/>
        <v>#DIV/0!</v>
      </c>
      <c r="G41" s="121"/>
      <c r="H41" s="121"/>
      <c r="I41" s="121"/>
      <c r="J41" s="121"/>
    </row>
    <row r="42" spans="1:10" x14ac:dyDescent="0.25">
      <c r="C42" s="128" t="str">
        <f>G4</f>
        <v>150dne суровая</v>
      </c>
      <c r="D42" s="123">
        <f>G18/C18</f>
        <v>0.13540027928517134</v>
      </c>
      <c r="E42" s="123"/>
      <c r="F42" s="124" t="e">
        <f t="shared" si="8"/>
        <v>#DIV/0!</v>
      </c>
    </row>
    <row r="43" spans="1:10" x14ac:dyDescent="0.25">
      <c r="D43" s="121"/>
      <c r="E43" s="121"/>
      <c r="F43" s="50"/>
    </row>
    <row r="44" spans="1:10" x14ac:dyDescent="0.25">
      <c r="A44" s="191" t="s">
        <v>568</v>
      </c>
      <c r="B44" s="191"/>
      <c r="C44" s="191"/>
      <c r="D44" s="191"/>
      <c r="E44" s="191"/>
      <c r="F44" s="191"/>
      <c r="G44" s="191"/>
    </row>
    <row r="46" spans="1:10" x14ac:dyDescent="0.25">
      <c r="A46" s="138"/>
      <c r="B46" s="138"/>
      <c r="C46" s="138"/>
      <c r="D46" s="138"/>
      <c r="E46" s="138"/>
      <c r="F46" s="138"/>
      <c r="G46" s="138"/>
    </row>
  </sheetData>
  <mergeCells count="32">
    <mergeCell ref="A46:G46"/>
    <mergeCell ref="A5:B5"/>
    <mergeCell ref="A6:B6"/>
    <mergeCell ref="A7:B7"/>
    <mergeCell ref="A44:G44"/>
    <mergeCell ref="A31:B31"/>
    <mergeCell ref="A32:B32"/>
    <mergeCell ref="A33:B33"/>
    <mergeCell ref="A34:B34"/>
    <mergeCell ref="A35:B35"/>
    <mergeCell ref="D37:F37"/>
    <mergeCell ref="A25:B25"/>
    <mergeCell ref="A26:B26"/>
    <mergeCell ref="A27:B27"/>
    <mergeCell ref="A28:B28"/>
    <mergeCell ref="A29:B29"/>
    <mergeCell ref="A30:B30"/>
    <mergeCell ref="A16:B16"/>
    <mergeCell ref="A17:B17"/>
    <mergeCell ref="A18:B18"/>
    <mergeCell ref="A22:B22"/>
    <mergeCell ref="A23:B23"/>
    <mergeCell ref="A24:B24"/>
    <mergeCell ref="A15:B15"/>
    <mergeCell ref="A1:E1"/>
    <mergeCell ref="A8:B8"/>
    <mergeCell ref="A9:B9"/>
    <mergeCell ref="A10:B10"/>
    <mergeCell ref="A11:B11"/>
    <mergeCell ref="A12:B12"/>
    <mergeCell ref="A13:B13"/>
    <mergeCell ref="A14:B14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workbookViewId="0">
      <selection activeCell="A46" sqref="A46:G48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4.7109375" customWidth="1"/>
    <col min="7" max="7" width="13.5703125" hidden="1" customWidth="1"/>
    <col min="8" max="8" width="9.140625" hidden="1" customWidth="1"/>
    <col min="9" max="10" width="10.5703125" hidden="1" customWidth="1"/>
    <col min="11" max="11" width="11.28515625" customWidth="1"/>
  </cols>
  <sheetData>
    <row r="1" spans="1:11" x14ac:dyDescent="0.25">
      <c r="A1" s="138" t="s">
        <v>486</v>
      </c>
      <c r="B1" s="138"/>
      <c r="C1" s="138"/>
      <c r="D1" s="138"/>
      <c r="E1" s="138"/>
      <c r="G1" s="88"/>
      <c r="K1" s="88">
        <v>46093</v>
      </c>
    </row>
    <row r="2" spans="1:11" x14ac:dyDescent="0.25">
      <c r="A2" s="37"/>
      <c r="B2" s="107"/>
      <c r="C2" s="107"/>
      <c r="D2" s="107"/>
      <c r="E2" s="107"/>
    </row>
    <row r="3" spans="1:11" x14ac:dyDescent="0.25">
      <c r="A3" s="37" t="s">
        <v>230</v>
      </c>
      <c r="D3" t="s">
        <v>532</v>
      </c>
      <c r="E3" s="89" t="s">
        <v>487</v>
      </c>
    </row>
    <row r="4" spans="1:11" x14ac:dyDescent="0.25">
      <c r="D4" s="38" t="s">
        <v>488</v>
      </c>
      <c r="E4" s="38" t="s">
        <v>182</v>
      </c>
      <c r="F4" s="38"/>
      <c r="G4" s="38"/>
      <c r="H4" s="4"/>
      <c r="I4" s="4"/>
      <c r="J4" s="4"/>
    </row>
    <row r="5" spans="1:11" ht="15" customHeight="1" x14ac:dyDescent="0.25">
      <c r="A5" s="192" t="s">
        <v>489</v>
      </c>
      <c r="B5" s="192"/>
      <c r="C5" s="110">
        <v>66.75</v>
      </c>
      <c r="D5">
        <f t="shared" ref="D5:J17" si="0">$C5/$C$18*D$18</f>
        <v>26.747320353441989</v>
      </c>
      <c r="E5">
        <f t="shared" si="0"/>
        <v>17.669284127334091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1" ht="15" customHeight="1" x14ac:dyDescent="0.25">
      <c r="A6" s="192" t="s">
        <v>490</v>
      </c>
      <c r="B6" s="192"/>
      <c r="C6" s="110">
        <v>259.79000000000002</v>
      </c>
      <c r="D6">
        <f t="shared" si="0"/>
        <v>104.10017010667708</v>
      </c>
      <c r="E6">
        <f t="shared" si="0"/>
        <v>68.76858911520786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1" ht="15" customHeight="1" x14ac:dyDescent="0.25">
      <c r="A7" s="192" t="s">
        <v>491</v>
      </c>
      <c r="B7" s="192"/>
      <c r="C7" s="110">
        <v>174.08</v>
      </c>
      <c r="D7">
        <f t="shared" si="0"/>
        <v>69.755408646100108</v>
      </c>
      <c r="E7">
        <f t="shared" si="0"/>
        <v>46.080434170581555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1" ht="15" customHeight="1" thickBot="1" x14ac:dyDescent="0.3">
      <c r="A8" s="192" t="s">
        <v>492</v>
      </c>
      <c r="B8" s="192"/>
      <c r="C8" s="110">
        <v>89.01</v>
      </c>
      <c r="D8">
        <f t="shared" si="0"/>
        <v>35.667100893780848</v>
      </c>
      <c r="E8">
        <f t="shared" si="0"/>
        <v>23.561692586876518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1" hidden="1" x14ac:dyDescent="0.25">
      <c r="A9" s="179"/>
      <c r="B9" s="179"/>
      <c r="C9" s="101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1" hidden="1" x14ac:dyDescent="0.25">
      <c r="A10" s="179"/>
      <c r="B10" s="179"/>
      <c r="C10" s="101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1" hidden="1" x14ac:dyDescent="0.25">
      <c r="A11" s="179"/>
      <c r="B11" s="179"/>
      <c r="C11" s="101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1" ht="15" hidden="1" customHeight="1" x14ac:dyDescent="0.25">
      <c r="A12" s="179"/>
      <c r="B12" s="179"/>
      <c r="C12" s="101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1" ht="15" hidden="1" customHeight="1" thickBot="1" x14ac:dyDescent="0.3">
      <c r="A13" s="179"/>
      <c r="B13" s="179"/>
      <c r="C13" s="101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1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1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1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589.63</v>
      </c>
      <c r="D18" s="2">
        <v>236.27</v>
      </c>
      <c r="E18" s="2">
        <v>156.08000000000001</v>
      </c>
      <c r="F18" s="2"/>
      <c r="G18" s="2"/>
      <c r="H18" s="2"/>
      <c r="I18" s="2"/>
      <c r="J18" s="2"/>
    </row>
    <row r="19" spans="1:10" x14ac:dyDescent="0.25">
      <c r="F19" s="91"/>
    </row>
    <row r="20" spans="1:10" x14ac:dyDescent="0.25">
      <c r="F20" s="91"/>
    </row>
    <row r="21" spans="1:10" s="47" customFormat="1" ht="27" customHeight="1" x14ac:dyDescent="0.25">
      <c r="D21" s="38" t="str">
        <f t="shared" ref="D21:F21" si="2">D4</f>
        <v>Нить 3603 черн</v>
      </c>
      <c r="E21" s="38" t="str">
        <f t="shared" si="2"/>
        <v>300dne Турция</v>
      </c>
      <c r="F21" s="38">
        <f t="shared" si="2"/>
        <v>0</v>
      </c>
      <c r="G21" s="38">
        <f>G4</f>
        <v>0</v>
      </c>
      <c r="H21" s="48">
        <f t="shared" ref="H21:J21" si="3">H4</f>
        <v>0</v>
      </c>
      <c r="I21" s="48">
        <f t="shared" si="3"/>
        <v>0</v>
      </c>
      <c r="J21" s="48">
        <f t="shared" si="3"/>
        <v>0</v>
      </c>
    </row>
    <row r="22" spans="1:10" x14ac:dyDescent="0.25">
      <c r="A22" s="141" t="str">
        <f t="shared" ref="A22:A34" si="4">A5</f>
        <v xml:space="preserve">Производство 1684 от 09.03.2026 </v>
      </c>
      <c r="B22" s="141"/>
      <c r="C22" s="22">
        <f t="shared" ref="C22:C34" si="5">C5</f>
        <v>66.75</v>
      </c>
      <c r="D22">
        <f t="shared" ref="D22:J34" si="6">ROUND(D5,3)</f>
        <v>26.747</v>
      </c>
      <c r="E22">
        <f t="shared" si="6"/>
        <v>17.669</v>
      </c>
      <c r="F22">
        <f t="shared" si="6"/>
        <v>0</v>
      </c>
      <c r="G22">
        <f t="shared" si="6"/>
        <v>0</v>
      </c>
      <c r="H22">
        <f t="shared" si="6"/>
        <v>0</v>
      </c>
      <c r="I22">
        <f t="shared" si="6"/>
        <v>0</v>
      </c>
      <c r="J22">
        <f t="shared" si="6"/>
        <v>0</v>
      </c>
    </row>
    <row r="23" spans="1:10" x14ac:dyDescent="0.25">
      <c r="A23" s="141" t="str">
        <f t="shared" si="4"/>
        <v xml:space="preserve">Производство 1701 от 10.03.2026 </v>
      </c>
      <c r="B23" s="141"/>
      <c r="C23" s="22">
        <f t="shared" si="5"/>
        <v>259.79000000000002</v>
      </c>
      <c r="D23">
        <f t="shared" si="6"/>
        <v>104.1</v>
      </c>
      <c r="E23">
        <f t="shared" si="6"/>
        <v>68.769000000000005</v>
      </c>
      <c r="F23">
        <f t="shared" si="6"/>
        <v>0</v>
      </c>
      <c r="G23">
        <f t="shared" si="6"/>
        <v>0</v>
      </c>
      <c r="H23">
        <f t="shared" si="6"/>
        <v>0</v>
      </c>
      <c r="I23">
        <f t="shared" si="6"/>
        <v>0</v>
      </c>
      <c r="J23">
        <f t="shared" si="6"/>
        <v>0</v>
      </c>
    </row>
    <row r="24" spans="1:10" x14ac:dyDescent="0.25">
      <c r="A24" s="141" t="str">
        <f t="shared" si="4"/>
        <v xml:space="preserve">Производство 1727 от 11.03.2026 </v>
      </c>
      <c r="B24" s="141"/>
      <c r="C24" s="22">
        <f t="shared" si="5"/>
        <v>174.08</v>
      </c>
      <c r="D24">
        <f t="shared" si="6"/>
        <v>69.754999999999995</v>
      </c>
      <c r="E24">
        <f t="shared" si="6"/>
        <v>46.08</v>
      </c>
      <c r="F24">
        <f t="shared" si="6"/>
        <v>0</v>
      </c>
      <c r="G24">
        <f t="shared" si="6"/>
        <v>0</v>
      </c>
      <c r="H24">
        <f t="shared" si="6"/>
        <v>0</v>
      </c>
      <c r="I24">
        <f t="shared" si="6"/>
        <v>0</v>
      </c>
      <c r="J24">
        <f t="shared" si="6"/>
        <v>0</v>
      </c>
    </row>
    <row r="25" spans="1:10" ht="15.75" thickBot="1" x14ac:dyDescent="0.3">
      <c r="A25" s="141" t="str">
        <f t="shared" si="4"/>
        <v xml:space="preserve">Производство 1750 от 12.03.2026 </v>
      </c>
      <c r="B25" s="141"/>
      <c r="C25" s="22">
        <f t="shared" si="5"/>
        <v>89.01</v>
      </c>
      <c r="D25">
        <f t="shared" si="6"/>
        <v>35.667000000000002</v>
      </c>
      <c r="E25">
        <f t="shared" si="6"/>
        <v>23.562000000000001</v>
      </c>
      <c r="F25">
        <f t="shared" si="6"/>
        <v>0</v>
      </c>
      <c r="G25">
        <f t="shared" si="6"/>
        <v>0</v>
      </c>
      <c r="H25">
        <f t="shared" si="6"/>
        <v>0</v>
      </c>
      <c r="I25">
        <f t="shared" si="6"/>
        <v>0</v>
      </c>
      <c r="J25">
        <f t="shared" si="6"/>
        <v>0</v>
      </c>
    </row>
    <row r="26" spans="1:10" hidden="1" x14ac:dyDescent="0.25">
      <c r="A26" s="141">
        <f t="shared" si="4"/>
        <v>0</v>
      </c>
      <c r="B26" s="141"/>
      <c r="C26" s="22">
        <f t="shared" si="5"/>
        <v>0</v>
      </c>
      <c r="D26">
        <f t="shared" si="6"/>
        <v>0</v>
      </c>
      <c r="E26">
        <f t="shared" si="6"/>
        <v>0</v>
      </c>
      <c r="F26">
        <f t="shared" si="6"/>
        <v>0</v>
      </c>
      <c r="G26">
        <f t="shared" si="6"/>
        <v>0</v>
      </c>
      <c r="H26">
        <f t="shared" si="6"/>
        <v>0</v>
      </c>
      <c r="I26">
        <f t="shared" si="6"/>
        <v>0</v>
      </c>
      <c r="J26">
        <f t="shared" si="6"/>
        <v>0</v>
      </c>
    </row>
    <row r="27" spans="1:10" hidden="1" x14ac:dyDescent="0.25">
      <c r="A27" s="141">
        <f t="shared" si="4"/>
        <v>0</v>
      </c>
      <c r="B27" s="141"/>
      <c r="C27" s="22">
        <f t="shared" si="5"/>
        <v>0</v>
      </c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0</v>
      </c>
      <c r="H27">
        <f t="shared" si="6"/>
        <v>0</v>
      </c>
      <c r="I27">
        <f t="shared" si="6"/>
        <v>0</v>
      </c>
      <c r="J27">
        <f t="shared" si="6"/>
        <v>0</v>
      </c>
    </row>
    <row r="28" spans="1:10" hidden="1" x14ac:dyDescent="0.25">
      <c r="A28" s="141">
        <f t="shared" si="4"/>
        <v>0</v>
      </c>
      <c r="B28" s="141"/>
      <c r="C28" s="22">
        <f t="shared" si="5"/>
        <v>0</v>
      </c>
      <c r="D28">
        <f t="shared" si="6"/>
        <v>0</v>
      </c>
      <c r="E28">
        <f t="shared" si="6"/>
        <v>0</v>
      </c>
      <c r="F28">
        <f t="shared" si="6"/>
        <v>0</v>
      </c>
      <c r="G28">
        <f t="shared" si="6"/>
        <v>0</v>
      </c>
      <c r="H28">
        <f t="shared" si="6"/>
        <v>0</v>
      </c>
      <c r="I28">
        <f t="shared" si="6"/>
        <v>0</v>
      </c>
      <c r="J28">
        <f t="shared" si="6"/>
        <v>0</v>
      </c>
    </row>
    <row r="29" spans="1:10" hidden="1" x14ac:dyDescent="0.25">
      <c r="A29" s="141">
        <f t="shared" si="4"/>
        <v>0</v>
      </c>
      <c r="B29" s="141"/>
      <c r="C29" s="22">
        <f t="shared" si="5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</row>
    <row r="30" spans="1:10" ht="15.75" hidden="1" thickBot="1" x14ac:dyDescent="0.3">
      <c r="A30" s="141">
        <f t="shared" si="4"/>
        <v>0</v>
      </c>
      <c r="B30" s="141"/>
      <c r="C30" s="22">
        <f t="shared" si="5"/>
        <v>0</v>
      </c>
      <c r="D30">
        <f t="shared" si="6"/>
        <v>0</v>
      </c>
      <c r="E30">
        <f t="shared" si="6"/>
        <v>0</v>
      </c>
      <c r="F30">
        <f t="shared" si="6"/>
        <v>0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0</v>
      </c>
    </row>
    <row r="31" spans="1:10" ht="15.75" hidden="1" thickBot="1" x14ac:dyDescent="0.3">
      <c r="A31" s="141">
        <f t="shared" si="4"/>
        <v>0</v>
      </c>
      <c r="B31" s="141"/>
      <c r="C31" s="22">
        <f t="shared" si="5"/>
        <v>0</v>
      </c>
      <c r="D31">
        <f t="shared" si="6"/>
        <v>0</v>
      </c>
      <c r="E31">
        <f t="shared" si="6"/>
        <v>0</v>
      </c>
      <c r="F31">
        <f t="shared" si="6"/>
        <v>0</v>
      </c>
      <c r="G31">
        <f t="shared" si="6"/>
        <v>0</v>
      </c>
      <c r="H31">
        <f t="shared" si="6"/>
        <v>0</v>
      </c>
      <c r="I31">
        <f t="shared" si="6"/>
        <v>0</v>
      </c>
      <c r="J31">
        <f t="shared" si="6"/>
        <v>0</v>
      </c>
    </row>
    <row r="32" spans="1:10" ht="15.75" hidden="1" thickBot="1" x14ac:dyDescent="0.3">
      <c r="A32" s="141">
        <f t="shared" si="4"/>
        <v>0</v>
      </c>
      <c r="B32" s="141"/>
      <c r="C32" s="22">
        <f t="shared" si="5"/>
        <v>0</v>
      </c>
      <c r="D32">
        <f t="shared" si="6"/>
        <v>0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6"/>
        <v>0</v>
      </c>
      <c r="I32">
        <f t="shared" si="6"/>
        <v>0</v>
      </c>
      <c r="J32">
        <f t="shared" si="6"/>
        <v>0</v>
      </c>
    </row>
    <row r="33" spans="1:10" ht="15.75" hidden="1" thickBot="1" x14ac:dyDescent="0.3">
      <c r="A33" s="141">
        <f t="shared" si="4"/>
        <v>0</v>
      </c>
      <c r="B33" s="141"/>
      <c r="C33" s="22">
        <f t="shared" si="5"/>
        <v>0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0</v>
      </c>
      <c r="H33">
        <f t="shared" si="6"/>
        <v>0</v>
      </c>
      <c r="I33">
        <f t="shared" si="6"/>
        <v>0</v>
      </c>
      <c r="J33">
        <f t="shared" si="6"/>
        <v>0</v>
      </c>
    </row>
    <row r="34" spans="1:10" ht="15.75" hidden="1" thickBot="1" x14ac:dyDescent="0.3">
      <c r="A34" s="141">
        <f t="shared" si="4"/>
        <v>0</v>
      </c>
      <c r="B34" s="141"/>
      <c r="C34" s="22">
        <f t="shared" si="5"/>
        <v>0</v>
      </c>
      <c r="D34">
        <f t="shared" si="6"/>
        <v>0</v>
      </c>
      <c r="E34">
        <f t="shared" si="6"/>
        <v>0</v>
      </c>
      <c r="F34">
        <f t="shared" si="6"/>
        <v>0</v>
      </c>
      <c r="G34">
        <f t="shared" si="6"/>
        <v>0</v>
      </c>
      <c r="H34">
        <f t="shared" si="6"/>
        <v>0</v>
      </c>
      <c r="I34">
        <f t="shared" si="6"/>
        <v>0</v>
      </c>
      <c r="J34">
        <f t="shared" si="6"/>
        <v>0</v>
      </c>
    </row>
    <row r="35" spans="1:10" ht="15" customHeight="1" x14ac:dyDescent="0.25">
      <c r="A35" s="137" t="s">
        <v>6</v>
      </c>
      <c r="B35" s="137"/>
      <c r="C35" s="12">
        <f>SUM(C22:C34)</f>
        <v>589.63</v>
      </c>
      <c r="D35" s="2">
        <f>SUM(D22:D34)</f>
        <v>236.26899999999998</v>
      </c>
      <c r="E35" s="2">
        <f>SUM(E22:E34)</f>
        <v>156.08000000000001</v>
      </c>
      <c r="F35" s="2">
        <f t="shared" ref="F35:J35" si="7">SUM(F22:F34)</f>
        <v>0</v>
      </c>
      <c r="G35" s="2">
        <f t="shared" si="7"/>
        <v>0</v>
      </c>
      <c r="H35" s="2">
        <f t="shared" si="7"/>
        <v>0</v>
      </c>
      <c r="I35" s="2">
        <f t="shared" si="7"/>
        <v>0</v>
      </c>
      <c r="J35" s="2">
        <f t="shared" si="7"/>
        <v>0</v>
      </c>
    </row>
    <row r="36" spans="1:10" x14ac:dyDescent="0.25">
      <c r="C36">
        <v>619.62</v>
      </c>
    </row>
    <row r="38" spans="1:10" x14ac:dyDescent="0.25">
      <c r="D38" t="s">
        <v>107</v>
      </c>
      <c r="E38" t="s">
        <v>108</v>
      </c>
      <c r="F38" t="s">
        <v>109</v>
      </c>
    </row>
    <row r="39" spans="1:10" x14ac:dyDescent="0.25">
      <c r="C39" t="str">
        <f>D4</f>
        <v>Нить 3603 черн</v>
      </c>
      <c r="D39" s="107">
        <f>D18/C18</f>
        <v>0.40070891915268897</v>
      </c>
      <c r="E39" s="107">
        <v>0.39200000000000002</v>
      </c>
      <c r="F39" s="29">
        <f>D39/E39-1</f>
        <v>2.2216630491553424E-2</v>
      </c>
      <c r="G39" s="107"/>
      <c r="H39" s="107"/>
      <c r="I39" s="107"/>
      <c r="J39" s="107"/>
    </row>
    <row r="40" spans="1:10" x14ac:dyDescent="0.25">
      <c r="C40" t="str">
        <f>E4</f>
        <v>300dne Турция</v>
      </c>
      <c r="D40" s="107">
        <f>E18/C18</f>
        <v>0.26470837643946205</v>
      </c>
      <c r="E40" s="107">
        <v>0.13600000000000001</v>
      </c>
      <c r="F40" s="29">
        <f t="shared" ref="F40:F42" si="8">D40/E40-1</f>
        <v>0.94638512087839732</v>
      </c>
    </row>
    <row r="41" spans="1:10" hidden="1" x14ac:dyDescent="0.25">
      <c r="C41">
        <f>F4</f>
        <v>0</v>
      </c>
      <c r="D41" s="107">
        <f>F18/C18</f>
        <v>0</v>
      </c>
      <c r="E41" s="107">
        <v>0.21</v>
      </c>
      <c r="F41" s="29">
        <f t="shared" si="8"/>
        <v>-1</v>
      </c>
      <c r="G41" s="107"/>
      <c r="H41" s="107"/>
      <c r="I41" s="107"/>
      <c r="J41" s="107"/>
    </row>
    <row r="42" spans="1:10" hidden="1" x14ac:dyDescent="0.25">
      <c r="C42">
        <f>G4</f>
        <v>0</v>
      </c>
      <c r="D42" s="107">
        <f>G18/C18</f>
        <v>0</v>
      </c>
      <c r="E42" s="107">
        <v>0.114</v>
      </c>
      <c r="F42" s="29">
        <f t="shared" si="8"/>
        <v>-1</v>
      </c>
    </row>
    <row r="43" spans="1:10" x14ac:dyDescent="0.25">
      <c r="D43" s="107"/>
      <c r="E43" s="107"/>
      <c r="F43" s="50"/>
    </row>
    <row r="46" spans="1:10" x14ac:dyDescent="0.25">
      <c r="A46" s="138" t="s">
        <v>533</v>
      </c>
      <c r="B46" s="138"/>
      <c r="C46" s="138"/>
      <c r="D46" s="138"/>
      <c r="E46" s="138"/>
      <c r="F46" s="138"/>
      <c r="G46" s="138"/>
    </row>
    <row r="47" spans="1:10" x14ac:dyDescent="0.25">
      <c r="C47" s="118" t="s">
        <v>488</v>
      </c>
      <c r="D47" s="118">
        <f>D18/C36</f>
        <v>0.38131435395887803</v>
      </c>
      <c r="E47" s="88">
        <v>46105</v>
      </c>
    </row>
    <row r="48" spans="1:10" x14ac:dyDescent="0.25">
      <c r="C48" s="118" t="s">
        <v>182</v>
      </c>
      <c r="D48" s="118">
        <f>E18/C36</f>
        <v>0.25189632355314551</v>
      </c>
    </row>
  </sheetData>
  <mergeCells count="30">
    <mergeCell ref="A46:G4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1:E1"/>
    <mergeCell ref="A9:B9"/>
    <mergeCell ref="A5:B5"/>
    <mergeCell ref="A6:B6"/>
    <mergeCell ref="A7:B7"/>
    <mergeCell ref="A8:B8"/>
  </mergeCell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opLeftCell="A18" workbookViewId="0">
      <selection activeCell="S35" sqref="S35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7" customWidth="1"/>
    <col min="7" max="7" width="13.5703125" hidden="1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576</v>
      </c>
      <c r="B1" s="138"/>
      <c r="C1" s="138"/>
      <c r="D1" s="138"/>
      <c r="E1" s="138"/>
      <c r="F1" s="88">
        <v>46118</v>
      </c>
      <c r="G1" s="88"/>
    </row>
    <row r="2" spans="1:10" x14ac:dyDescent="0.25">
      <c r="A2" s="37"/>
      <c r="B2" s="126"/>
      <c r="C2" s="126"/>
      <c r="D2" s="126"/>
      <c r="E2" s="126"/>
    </row>
    <row r="3" spans="1:10" x14ac:dyDescent="0.25">
      <c r="A3" s="37" t="s">
        <v>577</v>
      </c>
      <c r="D3" t="s">
        <v>578</v>
      </c>
      <c r="E3" s="89" t="s">
        <v>579</v>
      </c>
    </row>
    <row r="4" spans="1:10" x14ac:dyDescent="0.25">
      <c r="D4" s="38" t="s">
        <v>143</v>
      </c>
      <c r="E4" s="38" t="s">
        <v>563</v>
      </c>
      <c r="F4" s="38" t="s">
        <v>250</v>
      </c>
      <c r="G4" s="38"/>
      <c r="H4" s="4"/>
      <c r="I4" s="4"/>
      <c r="J4" s="4"/>
    </row>
    <row r="5" spans="1:10" ht="15" customHeight="1" x14ac:dyDescent="0.25">
      <c r="A5" s="193" t="s">
        <v>580</v>
      </c>
      <c r="B5" s="193"/>
      <c r="C5" s="132">
        <v>68.099999999999994</v>
      </c>
      <c r="D5">
        <f t="shared" ref="D5:J17" si="0">$C5/$C$18*D$18</f>
        <v>18.135022750609977</v>
      </c>
      <c r="E5">
        <f t="shared" si="0"/>
        <v>8.9674313006942938</v>
      </c>
      <c r="F5">
        <f t="shared" si="0"/>
        <v>8.957487447127205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93" t="s">
        <v>581</v>
      </c>
      <c r="B6" s="193"/>
      <c r="C6" s="132">
        <v>228.91</v>
      </c>
      <c r="D6">
        <f t="shared" si="0"/>
        <v>60.958708632043034</v>
      </c>
      <c r="E6">
        <f t="shared" si="0"/>
        <v>30.142947122495315</v>
      </c>
      <c r="F6">
        <f t="shared" si="0"/>
        <v>30.109522048779571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93" t="s">
        <v>582</v>
      </c>
      <c r="B7" s="193"/>
      <c r="C7" s="132">
        <v>305.24</v>
      </c>
      <c r="D7">
        <f t="shared" si="0"/>
        <v>81.28537950655199</v>
      </c>
      <c r="E7">
        <f t="shared" si="0"/>
        <v>40.19410763911786</v>
      </c>
      <c r="F7">
        <f t="shared" si="0"/>
        <v>40.149536980339327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x14ac:dyDescent="0.25">
      <c r="A8" s="193" t="s">
        <v>583</v>
      </c>
      <c r="B8" s="193"/>
      <c r="C8" s="132">
        <v>152.47</v>
      </c>
      <c r="D8">
        <f t="shared" si="0"/>
        <v>40.602744769243813</v>
      </c>
      <c r="E8">
        <f t="shared" si="0"/>
        <v>20.077301768235817</v>
      </c>
      <c r="F8">
        <f t="shared" si="0"/>
        <v>20.055038341607709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x14ac:dyDescent="0.25">
      <c r="A9" s="193" t="s">
        <v>584</v>
      </c>
      <c r="B9" s="193"/>
      <c r="C9" s="132">
        <v>216.59</v>
      </c>
      <c r="D9">
        <f t="shared" si="0"/>
        <v>57.67789394353327</v>
      </c>
      <c r="E9">
        <f t="shared" si="0"/>
        <v>28.520645307156787</v>
      </c>
      <c r="F9">
        <f t="shared" si="0"/>
        <v>28.489019180224396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x14ac:dyDescent="0.25">
      <c r="A10" s="193" t="s">
        <v>585</v>
      </c>
      <c r="B10" s="193"/>
      <c r="C10" s="132">
        <v>235.75</v>
      </c>
      <c r="D10">
        <f t="shared" si="0"/>
        <v>62.780199903910471</v>
      </c>
      <c r="E10">
        <f t="shared" si="0"/>
        <v>31.043640662829368</v>
      </c>
      <c r="F10">
        <f t="shared" si="0"/>
        <v>31.009216823204682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x14ac:dyDescent="0.25">
      <c r="A11" s="193" t="s">
        <v>586</v>
      </c>
      <c r="B11" s="193"/>
      <c r="C11" s="132">
        <v>77.63</v>
      </c>
      <c r="D11">
        <f t="shared" si="0"/>
        <v>20.672860736121184</v>
      </c>
      <c r="E11">
        <f t="shared" si="0"/>
        <v>10.222344961422877</v>
      </c>
      <c r="F11">
        <f t="shared" si="0"/>
        <v>10.211009552430028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customHeight="1" x14ac:dyDescent="0.25">
      <c r="A12" s="193" t="s">
        <v>587</v>
      </c>
      <c r="B12" s="193"/>
      <c r="C12" s="132">
        <v>299.07</v>
      </c>
      <c r="D12">
        <f>$C12/$C$18*D$18</f>
        <v>79.642309163361631</v>
      </c>
      <c r="E12">
        <f>$C12/$C$18*E$18</f>
        <v>39.381639928027056</v>
      </c>
      <c r="F12">
        <f t="shared" si="0"/>
        <v>39.33797020282428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customHeight="1" x14ac:dyDescent="0.25">
      <c r="A13" s="193" t="s">
        <v>588</v>
      </c>
      <c r="B13" s="193"/>
      <c r="C13" s="132">
        <v>140.32</v>
      </c>
      <c r="D13">
        <f t="shared" ref="D13:E17" si="1">$C13/$C$18*D$18</f>
        <v>37.367201062637186</v>
      </c>
      <c r="E13">
        <f t="shared" si="1"/>
        <v>18.477385611063486</v>
      </c>
      <c r="F13">
        <f t="shared" si="0"/>
        <v>18.456896308089419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customHeight="1" x14ac:dyDescent="0.25">
      <c r="A14" s="193" t="s">
        <v>589</v>
      </c>
      <c r="B14" s="193"/>
      <c r="C14" s="132">
        <v>219.58</v>
      </c>
      <c r="D14">
        <f t="shared" si="1"/>
        <v>58.474130625241408</v>
      </c>
      <c r="E14">
        <f t="shared" si="1"/>
        <v>28.914369530197551</v>
      </c>
      <c r="F14">
        <f t="shared" si="0"/>
        <v>28.882306808226019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customHeight="1" thickBot="1" x14ac:dyDescent="0.3">
      <c r="A15" s="193" t="s">
        <v>590</v>
      </c>
      <c r="B15" s="193"/>
      <c r="C15" s="132">
        <v>179.36</v>
      </c>
      <c r="D15">
        <f t="shared" si="1"/>
        <v>47.763548906746053</v>
      </c>
      <c r="E15">
        <f t="shared" si="1"/>
        <v>23.618186168759596</v>
      </c>
      <c r="F15">
        <f t="shared" si="0"/>
        <v>23.591996307147365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2123.02</v>
      </c>
      <c r="D18" s="2">
        <v>565.36</v>
      </c>
      <c r="E18" s="2">
        <v>279.56</v>
      </c>
      <c r="F18" s="2">
        <v>279.25</v>
      </c>
      <c r="G18" s="2"/>
      <c r="H18" s="2"/>
      <c r="I18" s="2"/>
      <c r="J18" s="2"/>
    </row>
    <row r="19" spans="1:10" x14ac:dyDescent="0.25">
      <c r="F19" s="91"/>
    </row>
    <row r="20" spans="1:10" x14ac:dyDescent="0.25">
      <c r="F20" s="91"/>
    </row>
    <row r="21" spans="1:10" s="47" customFormat="1" ht="27" customHeight="1" x14ac:dyDescent="0.25">
      <c r="D21" s="38" t="str">
        <f t="shared" ref="D21:F21" si="2">D4</f>
        <v>150dne суровая</v>
      </c>
      <c r="E21" s="38" t="str">
        <f t="shared" si="2"/>
        <v xml:space="preserve">300dne Турция </v>
      </c>
      <c r="F21" s="38" t="str">
        <f t="shared" si="2"/>
        <v>Трилобал серый</v>
      </c>
      <c r="G21" s="38">
        <f>G4</f>
        <v>0</v>
      </c>
      <c r="H21" s="48">
        <f t="shared" ref="H21:J21" si="3">H4</f>
        <v>0</v>
      </c>
      <c r="I21" s="48">
        <f t="shared" si="3"/>
        <v>0</v>
      </c>
      <c r="J21" s="48">
        <f t="shared" si="3"/>
        <v>0</v>
      </c>
    </row>
    <row r="22" spans="1:10" x14ac:dyDescent="0.25">
      <c r="A22" s="141" t="str">
        <f t="shared" ref="A22:A34" si="4">A5</f>
        <v xml:space="preserve">Производство 2048 от 23.03.2026 </v>
      </c>
      <c r="B22" s="141"/>
      <c r="C22" s="22">
        <f t="shared" ref="C22:C34" si="5">C5</f>
        <v>68.099999999999994</v>
      </c>
      <c r="D22">
        <f t="shared" ref="D22:J34" si="6">ROUND(D5,3)</f>
        <v>18.135000000000002</v>
      </c>
      <c r="E22">
        <f t="shared" si="6"/>
        <v>8.9670000000000005</v>
      </c>
      <c r="F22">
        <f t="shared" si="6"/>
        <v>8.9570000000000007</v>
      </c>
      <c r="G22">
        <f t="shared" si="6"/>
        <v>0</v>
      </c>
      <c r="H22">
        <f t="shared" si="6"/>
        <v>0</v>
      </c>
      <c r="I22">
        <f t="shared" si="6"/>
        <v>0</v>
      </c>
      <c r="J22">
        <f t="shared" si="6"/>
        <v>0</v>
      </c>
    </row>
    <row r="23" spans="1:10" x14ac:dyDescent="0.25">
      <c r="A23" s="141" t="str">
        <f t="shared" si="4"/>
        <v xml:space="preserve">Производство 2050 от 24.03.2026 </v>
      </c>
      <c r="B23" s="141"/>
      <c r="C23" s="22">
        <f t="shared" si="5"/>
        <v>228.91</v>
      </c>
      <c r="D23">
        <f t="shared" si="6"/>
        <v>60.959000000000003</v>
      </c>
      <c r="E23">
        <f t="shared" si="6"/>
        <v>30.143000000000001</v>
      </c>
      <c r="F23">
        <f t="shared" si="6"/>
        <v>30.11</v>
      </c>
      <c r="G23">
        <f t="shared" si="6"/>
        <v>0</v>
      </c>
      <c r="H23">
        <f t="shared" si="6"/>
        <v>0</v>
      </c>
      <c r="I23">
        <f t="shared" si="6"/>
        <v>0</v>
      </c>
      <c r="J23">
        <f t="shared" si="6"/>
        <v>0</v>
      </c>
    </row>
    <row r="24" spans="1:10" x14ac:dyDescent="0.25">
      <c r="A24" s="141" t="str">
        <f t="shared" si="4"/>
        <v xml:space="preserve">Производство 2069 от 25.03.2026 </v>
      </c>
      <c r="B24" s="141"/>
      <c r="C24" s="22">
        <f t="shared" si="5"/>
        <v>305.24</v>
      </c>
      <c r="D24">
        <f t="shared" si="6"/>
        <v>81.284999999999997</v>
      </c>
      <c r="E24">
        <f t="shared" si="6"/>
        <v>40.194000000000003</v>
      </c>
      <c r="F24">
        <f t="shared" si="6"/>
        <v>40.15</v>
      </c>
      <c r="G24">
        <f t="shared" si="6"/>
        <v>0</v>
      </c>
      <c r="H24">
        <f t="shared" si="6"/>
        <v>0</v>
      </c>
      <c r="I24">
        <f t="shared" si="6"/>
        <v>0</v>
      </c>
      <c r="J24">
        <f t="shared" si="6"/>
        <v>0</v>
      </c>
    </row>
    <row r="25" spans="1:10" x14ac:dyDescent="0.25">
      <c r="A25" s="141" t="str">
        <f t="shared" si="4"/>
        <v xml:space="preserve">Производство 2091 от 26.03.2026 </v>
      </c>
      <c r="B25" s="141"/>
      <c r="C25" s="22">
        <f t="shared" si="5"/>
        <v>152.47</v>
      </c>
      <c r="D25">
        <f t="shared" si="6"/>
        <v>40.603000000000002</v>
      </c>
      <c r="E25">
        <f t="shared" si="6"/>
        <v>20.077000000000002</v>
      </c>
      <c r="F25">
        <f t="shared" si="6"/>
        <v>20.055</v>
      </c>
      <c r="G25">
        <f t="shared" si="6"/>
        <v>0</v>
      </c>
      <c r="H25">
        <f t="shared" si="6"/>
        <v>0</v>
      </c>
      <c r="I25">
        <f t="shared" si="6"/>
        <v>0</v>
      </c>
      <c r="J25">
        <f t="shared" si="6"/>
        <v>0</v>
      </c>
    </row>
    <row r="26" spans="1:10" x14ac:dyDescent="0.25">
      <c r="A26" s="141" t="str">
        <f t="shared" si="4"/>
        <v xml:space="preserve">Производство 2108 от 27.03.2026 </v>
      </c>
      <c r="B26" s="141"/>
      <c r="C26" s="22">
        <f t="shared" si="5"/>
        <v>216.59</v>
      </c>
      <c r="D26">
        <f t="shared" si="6"/>
        <v>57.677999999999997</v>
      </c>
      <c r="E26">
        <f t="shared" si="6"/>
        <v>28.521000000000001</v>
      </c>
      <c r="F26">
        <f t="shared" si="6"/>
        <v>28.489000000000001</v>
      </c>
      <c r="G26">
        <f t="shared" si="6"/>
        <v>0</v>
      </c>
      <c r="H26">
        <f t="shared" si="6"/>
        <v>0</v>
      </c>
      <c r="I26">
        <f t="shared" si="6"/>
        <v>0</v>
      </c>
      <c r="J26">
        <f t="shared" si="6"/>
        <v>0</v>
      </c>
    </row>
    <row r="27" spans="1:10" x14ac:dyDescent="0.25">
      <c r="A27" s="141" t="str">
        <f t="shared" si="4"/>
        <v xml:space="preserve">Производство 2122 от 28.03.2026 </v>
      </c>
      <c r="B27" s="141"/>
      <c r="C27" s="22">
        <f t="shared" si="5"/>
        <v>235.75</v>
      </c>
      <c r="D27">
        <f t="shared" si="6"/>
        <v>62.78</v>
      </c>
      <c r="E27">
        <f t="shared" si="6"/>
        <v>31.044</v>
      </c>
      <c r="F27">
        <f t="shared" si="6"/>
        <v>31.009</v>
      </c>
      <c r="G27">
        <f t="shared" si="6"/>
        <v>0</v>
      </c>
      <c r="H27">
        <f t="shared" si="6"/>
        <v>0</v>
      </c>
      <c r="I27">
        <f t="shared" si="6"/>
        <v>0</v>
      </c>
      <c r="J27">
        <f t="shared" si="6"/>
        <v>0</v>
      </c>
    </row>
    <row r="28" spans="1:10" x14ac:dyDescent="0.25">
      <c r="A28" s="141" t="str">
        <f t="shared" si="4"/>
        <v xml:space="preserve">Производство 2125 от 29.03.2026 </v>
      </c>
      <c r="B28" s="141"/>
      <c r="C28" s="22">
        <f t="shared" si="5"/>
        <v>77.63</v>
      </c>
      <c r="D28">
        <f t="shared" si="6"/>
        <v>20.672999999999998</v>
      </c>
      <c r="E28">
        <f t="shared" si="6"/>
        <v>10.222</v>
      </c>
      <c r="F28">
        <f t="shared" si="6"/>
        <v>10.211</v>
      </c>
      <c r="G28">
        <f t="shared" si="6"/>
        <v>0</v>
      </c>
      <c r="H28">
        <f t="shared" si="6"/>
        <v>0</v>
      </c>
      <c r="I28">
        <f t="shared" si="6"/>
        <v>0</v>
      </c>
      <c r="J28">
        <f t="shared" si="6"/>
        <v>0</v>
      </c>
    </row>
    <row r="29" spans="1:10" x14ac:dyDescent="0.25">
      <c r="A29" s="141" t="str">
        <f t="shared" si="4"/>
        <v xml:space="preserve">Производство 2151 от 30.03.2026 </v>
      </c>
      <c r="B29" s="141"/>
      <c r="C29" s="22">
        <f t="shared" si="5"/>
        <v>299.07</v>
      </c>
      <c r="D29">
        <f t="shared" si="6"/>
        <v>79.641999999999996</v>
      </c>
      <c r="E29">
        <f t="shared" si="6"/>
        <v>39.381999999999998</v>
      </c>
      <c r="F29">
        <f t="shared" si="6"/>
        <v>39.338000000000001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</row>
    <row r="30" spans="1:10" x14ac:dyDescent="0.25">
      <c r="A30" s="141" t="str">
        <f t="shared" si="4"/>
        <v xml:space="preserve">Производство 2155 от 31.03.2026 </v>
      </c>
      <c r="B30" s="141"/>
      <c r="C30" s="22">
        <f t="shared" si="5"/>
        <v>140.32</v>
      </c>
      <c r="D30">
        <f t="shared" si="6"/>
        <v>37.366999999999997</v>
      </c>
      <c r="E30">
        <f t="shared" si="6"/>
        <v>18.477</v>
      </c>
      <c r="F30">
        <f t="shared" si="6"/>
        <v>18.457000000000001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0</v>
      </c>
    </row>
    <row r="31" spans="1:10" x14ac:dyDescent="0.25">
      <c r="A31" s="141" t="str">
        <f t="shared" si="4"/>
        <v xml:space="preserve">Производство 2165 от 01.04.2026 </v>
      </c>
      <c r="B31" s="141"/>
      <c r="C31" s="22">
        <f t="shared" si="5"/>
        <v>219.58</v>
      </c>
      <c r="D31">
        <f t="shared" si="6"/>
        <v>58.473999999999997</v>
      </c>
      <c r="E31">
        <f t="shared" si="6"/>
        <v>28.914000000000001</v>
      </c>
      <c r="F31">
        <f t="shared" si="6"/>
        <v>28.882000000000001</v>
      </c>
      <c r="G31">
        <f t="shared" si="6"/>
        <v>0</v>
      </c>
      <c r="H31">
        <f t="shared" si="6"/>
        <v>0</v>
      </c>
      <c r="I31">
        <f t="shared" si="6"/>
        <v>0</v>
      </c>
      <c r="J31">
        <f t="shared" si="6"/>
        <v>0</v>
      </c>
    </row>
    <row r="32" spans="1:10" x14ac:dyDescent="0.25">
      <c r="A32" s="141" t="str">
        <f t="shared" si="4"/>
        <v xml:space="preserve">Производство 2215 от 02.04.2026 </v>
      </c>
      <c r="B32" s="141"/>
      <c r="C32" s="22">
        <f t="shared" si="5"/>
        <v>179.36</v>
      </c>
      <c r="D32">
        <f t="shared" si="6"/>
        <v>47.764000000000003</v>
      </c>
      <c r="E32">
        <f t="shared" si="6"/>
        <v>23.617999999999999</v>
      </c>
      <c r="F32">
        <f t="shared" si="6"/>
        <v>23.591999999999999</v>
      </c>
      <c r="G32">
        <f t="shared" si="6"/>
        <v>0</v>
      </c>
      <c r="H32">
        <f t="shared" si="6"/>
        <v>0</v>
      </c>
      <c r="I32">
        <f t="shared" si="6"/>
        <v>0</v>
      </c>
      <c r="J32">
        <f t="shared" si="6"/>
        <v>0</v>
      </c>
    </row>
    <row r="33" spans="1:10" hidden="1" x14ac:dyDescent="0.25">
      <c r="A33" s="141">
        <f t="shared" si="4"/>
        <v>0</v>
      </c>
      <c r="B33" s="141"/>
      <c r="C33" s="22">
        <f t="shared" si="5"/>
        <v>0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0</v>
      </c>
      <c r="H33">
        <f t="shared" si="6"/>
        <v>0</v>
      </c>
      <c r="I33">
        <f t="shared" si="6"/>
        <v>0</v>
      </c>
      <c r="J33">
        <f t="shared" si="6"/>
        <v>0</v>
      </c>
    </row>
    <row r="34" spans="1:10" ht="0.75" customHeight="1" thickBot="1" x14ac:dyDescent="0.3">
      <c r="A34" s="141">
        <f t="shared" si="4"/>
        <v>0</v>
      </c>
      <c r="B34" s="141"/>
      <c r="C34" s="22">
        <f t="shared" si="5"/>
        <v>0</v>
      </c>
      <c r="D34">
        <f t="shared" si="6"/>
        <v>0</v>
      </c>
      <c r="E34">
        <f t="shared" si="6"/>
        <v>0</v>
      </c>
      <c r="F34">
        <f t="shared" si="6"/>
        <v>0</v>
      </c>
      <c r="G34">
        <f t="shared" si="6"/>
        <v>0</v>
      </c>
      <c r="H34">
        <f t="shared" si="6"/>
        <v>0</v>
      </c>
      <c r="I34">
        <f t="shared" si="6"/>
        <v>0</v>
      </c>
      <c r="J34">
        <f t="shared" si="6"/>
        <v>0</v>
      </c>
    </row>
    <row r="35" spans="1:10" ht="15" customHeight="1" x14ac:dyDescent="0.25">
      <c r="A35" s="137" t="s">
        <v>6</v>
      </c>
      <c r="B35" s="137"/>
      <c r="C35" s="12">
        <f>SUM(C22:C34)</f>
        <v>2123.02</v>
      </c>
      <c r="D35" s="2">
        <f>SUM(D22:D34)</f>
        <v>565.36000000000013</v>
      </c>
      <c r="E35" s="2">
        <f>SUM(E22:E34)</f>
        <v>279.55900000000003</v>
      </c>
      <c r="F35" s="2">
        <f t="shared" ref="F35:J35" si="7">SUM(F22:F34)</f>
        <v>279.25</v>
      </c>
      <c r="G35" s="2">
        <f t="shared" si="7"/>
        <v>0</v>
      </c>
      <c r="H35" s="2">
        <f t="shared" si="7"/>
        <v>0</v>
      </c>
      <c r="I35" s="2">
        <f t="shared" si="7"/>
        <v>0</v>
      </c>
      <c r="J35" s="2">
        <f t="shared" si="7"/>
        <v>0</v>
      </c>
    </row>
    <row r="37" spans="1:10" x14ac:dyDescent="0.25">
      <c r="C37" s="122" t="s">
        <v>550</v>
      </c>
      <c r="D37" s="186"/>
      <c r="E37" s="187"/>
      <c r="F37" s="188"/>
    </row>
    <row r="38" spans="1:10" x14ac:dyDescent="0.25">
      <c r="C38" s="118"/>
      <c r="D38" s="118" t="s">
        <v>107</v>
      </c>
      <c r="E38" s="118" t="s">
        <v>108</v>
      </c>
      <c r="F38" s="118" t="s">
        <v>109</v>
      </c>
    </row>
    <row r="39" spans="1:10" x14ac:dyDescent="0.25">
      <c r="C39" s="131" t="str">
        <f>D4</f>
        <v>150dne суровая</v>
      </c>
      <c r="D39" s="123">
        <f>D18/C18</f>
        <v>0.26629989354787048</v>
      </c>
      <c r="E39" s="123">
        <f>0.145+0.099</f>
        <v>0.24399999999999999</v>
      </c>
      <c r="F39" s="124">
        <f>D39/E39-1</f>
        <v>9.1393006343731598E-2</v>
      </c>
      <c r="G39" s="126"/>
      <c r="H39" s="126"/>
      <c r="I39" s="126"/>
      <c r="J39" s="126"/>
    </row>
    <row r="40" spans="1:10" x14ac:dyDescent="0.25">
      <c r="C40" s="131" t="str">
        <f>E4</f>
        <v xml:space="preserve">300dne Турция </v>
      </c>
      <c r="D40" s="123">
        <f>E18/C18</f>
        <v>0.13168034215410124</v>
      </c>
      <c r="E40" s="123">
        <v>0.13900000000000001</v>
      </c>
      <c r="F40" s="124">
        <f t="shared" ref="F40:F42" si="8">D40/E40-1</f>
        <v>-5.2659408963300569E-2</v>
      </c>
    </row>
    <row r="41" spans="1:10" x14ac:dyDescent="0.25">
      <c r="C41" s="131" t="str">
        <f>F4</f>
        <v>Трилобал серый</v>
      </c>
      <c r="D41" s="123">
        <f>F18/C18</f>
        <v>0.13153432374636131</v>
      </c>
      <c r="E41" s="123">
        <v>0.122</v>
      </c>
      <c r="F41" s="124">
        <f t="shared" si="8"/>
        <v>7.815019464230577E-2</v>
      </c>
      <c r="G41" s="126"/>
      <c r="H41" s="126"/>
      <c r="I41" s="126"/>
      <c r="J41" s="126"/>
    </row>
    <row r="42" spans="1:10" hidden="1" x14ac:dyDescent="0.25">
      <c r="C42" s="131">
        <f>G4</f>
        <v>0</v>
      </c>
      <c r="D42" s="123">
        <f>G18/C18</f>
        <v>0</v>
      </c>
      <c r="E42" s="123"/>
      <c r="F42" s="124" t="e">
        <f t="shared" si="8"/>
        <v>#DIV/0!</v>
      </c>
    </row>
    <row r="43" spans="1:10" x14ac:dyDescent="0.25">
      <c r="D43" s="126"/>
      <c r="E43" s="126"/>
      <c r="F43" s="50"/>
    </row>
    <row r="44" spans="1:10" x14ac:dyDescent="0.25">
      <c r="A44" s="191"/>
      <c r="B44" s="191"/>
      <c r="C44" s="191"/>
      <c r="D44" s="191"/>
      <c r="E44" s="191"/>
      <c r="F44" s="191"/>
      <c r="G44" s="191"/>
    </row>
    <row r="46" spans="1:10" x14ac:dyDescent="0.25">
      <c r="A46" s="138"/>
      <c r="B46" s="138"/>
      <c r="C46" s="138"/>
      <c r="D46" s="138"/>
      <c r="E46" s="138"/>
      <c r="F46" s="138"/>
      <c r="G46" s="138"/>
    </row>
  </sheetData>
  <mergeCells count="32">
    <mergeCell ref="A13:B13"/>
    <mergeCell ref="A14:B14"/>
    <mergeCell ref="A15:B15"/>
    <mergeCell ref="A1:E1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44:G44"/>
    <mergeCell ref="A46:G46"/>
    <mergeCell ref="A5:B5"/>
    <mergeCell ref="A6:B6"/>
    <mergeCell ref="A7:B7"/>
    <mergeCell ref="A8:B8"/>
    <mergeCell ref="A9:B9"/>
    <mergeCell ref="A10:B10"/>
    <mergeCell ref="A11:B11"/>
    <mergeCell ref="A12:B12"/>
    <mergeCell ref="A31:B31"/>
    <mergeCell ref="A32:B32"/>
    <mergeCell ref="A33:B33"/>
    <mergeCell ref="A34:B34"/>
    <mergeCell ref="A35:B35"/>
    <mergeCell ref="D37:F37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workbookViewId="0">
      <selection activeCell="O37" sqref="O37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6" customWidth="1"/>
    <col min="7" max="7" width="13.5703125" hidden="1" customWidth="1"/>
    <col min="8" max="8" width="9.140625" hidden="1" customWidth="1"/>
    <col min="9" max="10" width="10.5703125" hidden="1" customWidth="1"/>
    <col min="11" max="11" width="11.28515625" customWidth="1"/>
  </cols>
  <sheetData>
    <row r="1" spans="1:11" x14ac:dyDescent="0.25">
      <c r="A1" s="138" t="s">
        <v>493</v>
      </c>
      <c r="B1" s="138"/>
      <c r="C1" s="138"/>
      <c r="D1" s="138"/>
      <c r="E1" s="138"/>
      <c r="G1" s="88"/>
      <c r="K1" s="88">
        <v>46086</v>
      </c>
    </row>
    <row r="2" spans="1:11" x14ac:dyDescent="0.25">
      <c r="A2" s="37"/>
      <c r="B2" s="109"/>
      <c r="C2" s="109"/>
      <c r="D2" s="109"/>
      <c r="E2" s="109"/>
    </row>
    <row r="3" spans="1:11" x14ac:dyDescent="0.25">
      <c r="A3" s="37" t="s">
        <v>494</v>
      </c>
      <c r="D3" t="s">
        <v>495</v>
      </c>
      <c r="E3" s="89" t="s">
        <v>496</v>
      </c>
    </row>
    <row r="4" spans="1:11" ht="30" x14ac:dyDescent="0.25">
      <c r="D4" s="38" t="s">
        <v>450</v>
      </c>
      <c r="E4" s="38" t="s">
        <v>143</v>
      </c>
      <c r="F4" s="38" t="s">
        <v>497</v>
      </c>
      <c r="G4" s="38"/>
      <c r="H4" s="4"/>
      <c r="I4" s="4"/>
      <c r="J4" s="4"/>
    </row>
    <row r="5" spans="1:11" ht="15" customHeight="1" x14ac:dyDescent="0.25">
      <c r="A5" s="194" t="s">
        <v>498</v>
      </c>
      <c r="B5" s="194"/>
      <c r="C5" s="112">
        <v>167.99</v>
      </c>
      <c r="D5">
        <f t="shared" ref="D5:J17" si="0">$C5/$C$18*D$18</f>
        <v>37.152953515218066</v>
      </c>
      <c r="E5">
        <f t="shared" si="0"/>
        <v>35.542440380662782</v>
      </c>
      <c r="F5">
        <f t="shared" si="0"/>
        <v>23.646873469042994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1" ht="15" customHeight="1" x14ac:dyDescent="0.25">
      <c r="A6" s="194" t="s">
        <v>499</v>
      </c>
      <c r="B6" s="194"/>
      <c r="C6" s="112">
        <v>333.69</v>
      </c>
      <c r="D6">
        <f t="shared" si="0"/>
        <v>73.799446743812823</v>
      </c>
      <c r="E6">
        <f t="shared" si="0"/>
        <v>70.600374609341998</v>
      </c>
      <c r="F6">
        <f t="shared" si="0"/>
        <v>46.971398344454769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1" ht="15" customHeight="1" thickBot="1" x14ac:dyDescent="0.3">
      <c r="A7" s="194" t="s">
        <v>500</v>
      </c>
      <c r="B7" s="194"/>
      <c r="C7" s="110">
        <v>208.66</v>
      </c>
      <c r="D7">
        <f t="shared" si="0"/>
        <v>46.147599740969113</v>
      </c>
      <c r="E7">
        <f t="shared" si="0"/>
        <v>44.147185009995212</v>
      </c>
      <c r="F7">
        <f t="shared" si="0"/>
        <v>29.371728186502235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1" ht="15" hidden="1" customHeight="1" thickBot="1" x14ac:dyDescent="0.3">
      <c r="A8" s="192"/>
      <c r="B8" s="192"/>
      <c r="C8" s="110"/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1" ht="15.75" hidden="1" thickBot="1" x14ac:dyDescent="0.3">
      <c r="A9" s="179"/>
      <c r="B9" s="179"/>
      <c r="C9" s="101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1" ht="15.75" hidden="1" thickBot="1" x14ac:dyDescent="0.3">
      <c r="A10" s="179"/>
      <c r="B10" s="179"/>
      <c r="C10" s="101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1" ht="15.75" hidden="1" thickBot="1" x14ac:dyDescent="0.3">
      <c r="A11" s="179"/>
      <c r="B11" s="179"/>
      <c r="C11" s="101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1" ht="15" hidden="1" customHeight="1" x14ac:dyDescent="0.25">
      <c r="A12" s="179"/>
      <c r="B12" s="179"/>
      <c r="C12" s="101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1" ht="15" hidden="1" customHeight="1" thickBot="1" x14ac:dyDescent="0.3">
      <c r="A13" s="179"/>
      <c r="B13" s="179"/>
      <c r="C13" s="101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1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1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1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710.34</v>
      </c>
      <c r="D18" s="2">
        <v>157.1</v>
      </c>
      <c r="E18" s="2">
        <v>150.29</v>
      </c>
      <c r="F18" s="2">
        <v>99.99</v>
      </c>
      <c r="G18" s="2"/>
      <c r="H18" s="2"/>
      <c r="I18" s="2"/>
      <c r="J18" s="2"/>
    </row>
    <row r="19" spans="1:10" x14ac:dyDescent="0.25">
      <c r="F19" s="91"/>
    </row>
    <row r="20" spans="1:10" x14ac:dyDescent="0.25">
      <c r="F20" s="91"/>
    </row>
    <row r="21" spans="1:10" s="47" customFormat="1" ht="27" customHeight="1" x14ac:dyDescent="0.25">
      <c r="D21" s="38" t="str">
        <f t="shared" ref="D21:F21" si="2">D4</f>
        <v>600dne Турция</v>
      </c>
      <c r="E21" s="38" t="str">
        <f t="shared" si="2"/>
        <v>150dne суровая</v>
      </c>
      <c r="F21" s="38" t="str">
        <f t="shared" si="2"/>
        <v>Нить 150D/48F №89blue</v>
      </c>
      <c r="G21" s="38">
        <f>G4</f>
        <v>0</v>
      </c>
      <c r="H21" s="48">
        <f t="shared" ref="H21:J21" si="3">H4</f>
        <v>0</v>
      </c>
      <c r="I21" s="48">
        <f t="shared" si="3"/>
        <v>0</v>
      </c>
      <c r="J21" s="48">
        <f t="shared" si="3"/>
        <v>0</v>
      </c>
    </row>
    <row r="22" spans="1:10" x14ac:dyDescent="0.25">
      <c r="A22" s="141" t="str">
        <f t="shared" ref="A22:A34" si="4">A5</f>
        <v xml:space="preserve">Производство 1728 от 11.03.2026 </v>
      </c>
      <c r="B22" s="141"/>
      <c r="C22" s="22">
        <f t="shared" ref="C22:C34" si="5">C5</f>
        <v>167.99</v>
      </c>
      <c r="D22">
        <f t="shared" ref="D22:J34" si="6">ROUND(D5,3)</f>
        <v>37.152999999999999</v>
      </c>
      <c r="E22">
        <f t="shared" si="6"/>
        <v>35.542000000000002</v>
      </c>
      <c r="F22">
        <f t="shared" si="6"/>
        <v>23.646999999999998</v>
      </c>
      <c r="G22">
        <f t="shared" si="6"/>
        <v>0</v>
      </c>
      <c r="H22">
        <f t="shared" si="6"/>
        <v>0</v>
      </c>
      <c r="I22">
        <f t="shared" si="6"/>
        <v>0</v>
      </c>
      <c r="J22">
        <f t="shared" si="6"/>
        <v>0</v>
      </c>
    </row>
    <row r="23" spans="1:10" x14ac:dyDescent="0.25">
      <c r="A23" s="141" t="str">
        <f t="shared" si="4"/>
        <v xml:space="preserve">Производство 1751 от 12.03.2026 </v>
      </c>
      <c r="B23" s="141"/>
      <c r="C23" s="22">
        <f t="shared" si="5"/>
        <v>333.69</v>
      </c>
      <c r="D23">
        <f t="shared" si="6"/>
        <v>73.799000000000007</v>
      </c>
      <c r="E23">
        <f t="shared" si="6"/>
        <v>70.599999999999994</v>
      </c>
      <c r="F23">
        <f t="shared" si="6"/>
        <v>46.970999999999997</v>
      </c>
      <c r="G23">
        <f t="shared" si="6"/>
        <v>0</v>
      </c>
      <c r="H23">
        <f t="shared" si="6"/>
        <v>0</v>
      </c>
      <c r="I23">
        <f t="shared" si="6"/>
        <v>0</v>
      </c>
      <c r="J23">
        <f t="shared" si="6"/>
        <v>0</v>
      </c>
    </row>
    <row r="24" spans="1:10" ht="15.75" thickBot="1" x14ac:dyDescent="0.3">
      <c r="A24" s="141" t="str">
        <f t="shared" si="4"/>
        <v xml:space="preserve">Производство 1775 от 13.03.2026 </v>
      </c>
      <c r="B24" s="141"/>
      <c r="C24" s="22">
        <f t="shared" si="5"/>
        <v>208.66</v>
      </c>
      <c r="D24">
        <f t="shared" si="6"/>
        <v>46.148000000000003</v>
      </c>
      <c r="E24">
        <f t="shared" si="6"/>
        <v>44.146999999999998</v>
      </c>
      <c r="F24">
        <f t="shared" si="6"/>
        <v>29.372</v>
      </c>
      <c r="G24">
        <f t="shared" si="6"/>
        <v>0</v>
      </c>
      <c r="H24">
        <f t="shared" si="6"/>
        <v>0</v>
      </c>
      <c r="I24">
        <f t="shared" si="6"/>
        <v>0</v>
      </c>
      <c r="J24">
        <f t="shared" si="6"/>
        <v>0</v>
      </c>
    </row>
    <row r="25" spans="1:10" ht="15.75" hidden="1" thickBot="1" x14ac:dyDescent="0.3">
      <c r="A25" s="141">
        <f t="shared" si="4"/>
        <v>0</v>
      </c>
      <c r="B25" s="141"/>
      <c r="C25" s="22">
        <f t="shared" si="5"/>
        <v>0</v>
      </c>
      <c r="D25">
        <f t="shared" si="6"/>
        <v>0</v>
      </c>
      <c r="E25">
        <f t="shared" si="6"/>
        <v>0</v>
      </c>
      <c r="F25">
        <f t="shared" si="6"/>
        <v>0</v>
      </c>
      <c r="G25">
        <f t="shared" si="6"/>
        <v>0</v>
      </c>
      <c r="H25">
        <f t="shared" si="6"/>
        <v>0</v>
      </c>
      <c r="I25">
        <f t="shared" si="6"/>
        <v>0</v>
      </c>
      <c r="J25">
        <f t="shared" si="6"/>
        <v>0</v>
      </c>
    </row>
    <row r="26" spans="1:10" ht="15.75" hidden="1" thickBot="1" x14ac:dyDescent="0.3">
      <c r="A26" s="141">
        <f t="shared" si="4"/>
        <v>0</v>
      </c>
      <c r="B26" s="141"/>
      <c r="C26" s="22">
        <f t="shared" si="5"/>
        <v>0</v>
      </c>
      <c r="D26">
        <f t="shared" si="6"/>
        <v>0</v>
      </c>
      <c r="E26">
        <f t="shared" si="6"/>
        <v>0</v>
      </c>
      <c r="F26">
        <f t="shared" si="6"/>
        <v>0</v>
      </c>
      <c r="G26">
        <f t="shared" si="6"/>
        <v>0</v>
      </c>
      <c r="H26">
        <f t="shared" si="6"/>
        <v>0</v>
      </c>
      <c r="I26">
        <f t="shared" si="6"/>
        <v>0</v>
      </c>
      <c r="J26">
        <f t="shared" si="6"/>
        <v>0</v>
      </c>
    </row>
    <row r="27" spans="1:10" ht="15.75" hidden="1" thickBot="1" x14ac:dyDescent="0.3">
      <c r="A27" s="141">
        <f t="shared" si="4"/>
        <v>0</v>
      </c>
      <c r="B27" s="141"/>
      <c r="C27" s="22">
        <f t="shared" si="5"/>
        <v>0</v>
      </c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0</v>
      </c>
      <c r="H27">
        <f t="shared" si="6"/>
        <v>0</v>
      </c>
      <c r="I27">
        <f t="shared" si="6"/>
        <v>0</v>
      </c>
      <c r="J27">
        <f t="shared" si="6"/>
        <v>0</v>
      </c>
    </row>
    <row r="28" spans="1:10" ht="15.75" hidden="1" thickBot="1" x14ac:dyDescent="0.3">
      <c r="A28" s="141">
        <f t="shared" si="4"/>
        <v>0</v>
      </c>
      <c r="B28" s="141"/>
      <c r="C28" s="22">
        <f t="shared" si="5"/>
        <v>0</v>
      </c>
      <c r="D28">
        <f t="shared" si="6"/>
        <v>0</v>
      </c>
      <c r="E28">
        <f t="shared" si="6"/>
        <v>0</v>
      </c>
      <c r="F28">
        <f t="shared" si="6"/>
        <v>0</v>
      </c>
      <c r="G28">
        <f t="shared" si="6"/>
        <v>0</v>
      </c>
      <c r="H28">
        <f t="shared" si="6"/>
        <v>0</v>
      </c>
      <c r="I28">
        <f t="shared" si="6"/>
        <v>0</v>
      </c>
      <c r="J28">
        <f t="shared" si="6"/>
        <v>0</v>
      </c>
    </row>
    <row r="29" spans="1:10" ht="15.75" hidden="1" thickBot="1" x14ac:dyDescent="0.3">
      <c r="A29" s="141">
        <f t="shared" si="4"/>
        <v>0</v>
      </c>
      <c r="B29" s="141"/>
      <c r="C29" s="22">
        <f t="shared" si="5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</row>
    <row r="30" spans="1:10" ht="15.75" hidden="1" thickBot="1" x14ac:dyDescent="0.3">
      <c r="A30" s="141">
        <f t="shared" si="4"/>
        <v>0</v>
      </c>
      <c r="B30" s="141"/>
      <c r="C30" s="22">
        <f t="shared" si="5"/>
        <v>0</v>
      </c>
      <c r="D30">
        <f t="shared" si="6"/>
        <v>0</v>
      </c>
      <c r="E30">
        <f t="shared" si="6"/>
        <v>0</v>
      </c>
      <c r="F30">
        <f t="shared" si="6"/>
        <v>0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0</v>
      </c>
    </row>
    <row r="31" spans="1:10" ht="15.75" hidden="1" thickBot="1" x14ac:dyDescent="0.3">
      <c r="A31" s="141">
        <f t="shared" si="4"/>
        <v>0</v>
      </c>
      <c r="B31" s="141"/>
      <c r="C31" s="22">
        <f t="shared" si="5"/>
        <v>0</v>
      </c>
      <c r="D31">
        <f t="shared" si="6"/>
        <v>0</v>
      </c>
      <c r="E31">
        <f t="shared" si="6"/>
        <v>0</v>
      </c>
      <c r="F31">
        <f t="shared" si="6"/>
        <v>0</v>
      </c>
      <c r="G31">
        <f t="shared" si="6"/>
        <v>0</v>
      </c>
      <c r="H31">
        <f t="shared" si="6"/>
        <v>0</v>
      </c>
      <c r="I31">
        <f t="shared" si="6"/>
        <v>0</v>
      </c>
      <c r="J31">
        <f t="shared" si="6"/>
        <v>0</v>
      </c>
    </row>
    <row r="32" spans="1:10" ht="15.75" hidden="1" thickBot="1" x14ac:dyDescent="0.3">
      <c r="A32" s="141">
        <f t="shared" si="4"/>
        <v>0</v>
      </c>
      <c r="B32" s="141"/>
      <c r="C32" s="22">
        <f t="shared" si="5"/>
        <v>0</v>
      </c>
      <c r="D32">
        <f t="shared" si="6"/>
        <v>0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6"/>
        <v>0</v>
      </c>
      <c r="I32">
        <f t="shared" si="6"/>
        <v>0</v>
      </c>
      <c r="J32">
        <f t="shared" si="6"/>
        <v>0</v>
      </c>
    </row>
    <row r="33" spans="1:10" ht="15.75" hidden="1" thickBot="1" x14ac:dyDescent="0.3">
      <c r="A33" s="141">
        <f t="shared" si="4"/>
        <v>0</v>
      </c>
      <c r="B33" s="141"/>
      <c r="C33" s="22">
        <f t="shared" si="5"/>
        <v>0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0</v>
      </c>
      <c r="H33">
        <f t="shared" si="6"/>
        <v>0</v>
      </c>
      <c r="I33">
        <f t="shared" si="6"/>
        <v>0</v>
      </c>
      <c r="J33">
        <f t="shared" si="6"/>
        <v>0</v>
      </c>
    </row>
    <row r="34" spans="1:10" ht="15.75" hidden="1" thickBot="1" x14ac:dyDescent="0.3">
      <c r="A34" s="141">
        <f t="shared" si="4"/>
        <v>0</v>
      </c>
      <c r="B34" s="141"/>
      <c r="C34" s="22">
        <f t="shared" si="5"/>
        <v>0</v>
      </c>
      <c r="D34">
        <f t="shared" si="6"/>
        <v>0</v>
      </c>
      <c r="E34">
        <f t="shared" si="6"/>
        <v>0</v>
      </c>
      <c r="F34">
        <f t="shared" si="6"/>
        <v>0</v>
      </c>
      <c r="G34">
        <f t="shared" si="6"/>
        <v>0</v>
      </c>
      <c r="H34">
        <f t="shared" si="6"/>
        <v>0</v>
      </c>
      <c r="I34">
        <f t="shared" si="6"/>
        <v>0</v>
      </c>
      <c r="J34">
        <f t="shared" si="6"/>
        <v>0</v>
      </c>
    </row>
    <row r="35" spans="1:10" ht="15" customHeight="1" x14ac:dyDescent="0.25">
      <c r="A35" s="137" t="s">
        <v>6</v>
      </c>
      <c r="B35" s="137"/>
      <c r="C35" s="12">
        <f>SUM(C22:C34)</f>
        <v>710.34</v>
      </c>
      <c r="D35" s="2">
        <f>SUM(D22:D34)</f>
        <v>157.1</v>
      </c>
      <c r="E35" s="2">
        <f>SUM(E22:E34)</f>
        <v>150.28899999999999</v>
      </c>
      <c r="F35" s="2">
        <f t="shared" ref="F35:J35" si="7">SUM(F22:F34)</f>
        <v>99.99</v>
      </c>
      <c r="G35" s="2">
        <f t="shared" si="7"/>
        <v>0</v>
      </c>
      <c r="H35" s="2">
        <f t="shared" si="7"/>
        <v>0</v>
      </c>
      <c r="I35" s="2">
        <f t="shared" si="7"/>
        <v>0</v>
      </c>
      <c r="J35" s="2">
        <f t="shared" si="7"/>
        <v>0</v>
      </c>
    </row>
    <row r="38" spans="1:10" x14ac:dyDescent="0.25">
      <c r="D38" t="s">
        <v>107</v>
      </c>
      <c r="E38" t="s">
        <v>108</v>
      </c>
      <c r="F38" t="s">
        <v>109</v>
      </c>
    </row>
    <row r="39" spans="1:10" x14ac:dyDescent="0.25">
      <c r="C39" t="str">
        <f>D4</f>
        <v>600dne Турция</v>
      </c>
      <c r="D39" s="109">
        <f>D18/C18</f>
        <v>0.22116169721541795</v>
      </c>
      <c r="E39" s="109">
        <v>0.21</v>
      </c>
      <c r="F39" s="29">
        <f>D39/E39-1</f>
        <v>5.3150939121037855E-2</v>
      </c>
      <c r="G39" s="109"/>
      <c r="H39" s="109"/>
      <c r="I39" s="109"/>
      <c r="J39" s="109"/>
    </row>
    <row r="40" spans="1:10" x14ac:dyDescent="0.25">
      <c r="C40" t="str">
        <f>E4</f>
        <v>150dne суровая</v>
      </c>
      <c r="D40" s="109">
        <f>E18/C18</f>
        <v>0.21157473885744851</v>
      </c>
      <c r="E40" s="109">
        <v>0.26300000000000001</v>
      </c>
      <c r="F40" s="29">
        <f t="shared" ref="F40:F42" si="8">D40/E40-1</f>
        <v>-0.1955333123290931</v>
      </c>
    </row>
    <row r="41" spans="1:10" x14ac:dyDescent="0.25">
      <c r="C41" t="str">
        <f>F4</f>
        <v>Нить 150D/48F №89blue</v>
      </c>
      <c r="D41" s="109">
        <f>F18/C18</f>
        <v>0.14076357800489905</v>
      </c>
      <c r="E41" s="109">
        <v>0.66400000000000003</v>
      </c>
      <c r="F41" s="29">
        <f t="shared" si="8"/>
        <v>-0.78800665963117611</v>
      </c>
      <c r="G41" s="109"/>
      <c r="H41" s="109"/>
      <c r="I41" s="109"/>
      <c r="J41" s="109"/>
    </row>
    <row r="42" spans="1:10" hidden="1" x14ac:dyDescent="0.25">
      <c r="C42">
        <f>G4</f>
        <v>0</v>
      </c>
      <c r="D42" s="109">
        <f>G18/C18</f>
        <v>0</v>
      </c>
      <c r="E42" s="109">
        <v>0.114</v>
      </c>
      <c r="F42" s="29">
        <f t="shared" si="8"/>
        <v>-1</v>
      </c>
    </row>
    <row r="43" spans="1:10" hidden="1" x14ac:dyDescent="0.25">
      <c r="D43" s="109"/>
      <c r="E43" s="109"/>
      <c r="F43" s="50"/>
    </row>
    <row r="46" spans="1:10" x14ac:dyDescent="0.25">
      <c r="A46" s="138"/>
      <c r="B46" s="138"/>
      <c r="C46" s="138"/>
      <c r="D46" s="138"/>
      <c r="E46" s="138"/>
      <c r="F46" s="138"/>
      <c r="G46" s="138"/>
    </row>
  </sheetData>
  <mergeCells count="30">
    <mergeCell ref="A1:E1"/>
    <mergeCell ref="A8:B8"/>
    <mergeCell ref="A9:B9"/>
    <mergeCell ref="A5:B5"/>
    <mergeCell ref="A6:B6"/>
    <mergeCell ref="A7:B7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46:G4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</mergeCell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6"/>
  <sheetViews>
    <sheetView topLeftCell="A7" workbookViewId="0">
      <selection activeCell="E51" sqref="E51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6" customWidth="1"/>
    <col min="7" max="10" width="13.5703125" customWidth="1"/>
    <col min="11" max="11" width="10.140625" customWidth="1"/>
    <col min="12" max="12" width="10.5703125" customWidth="1"/>
    <col min="13" max="13" width="10.5703125" hidden="1" customWidth="1"/>
    <col min="14" max="14" width="11.28515625" customWidth="1"/>
  </cols>
  <sheetData>
    <row r="1" spans="1:14" x14ac:dyDescent="0.25">
      <c r="A1" s="138" t="s">
        <v>512</v>
      </c>
      <c r="B1" s="138"/>
      <c r="C1" s="138"/>
      <c r="D1" s="138"/>
      <c r="E1" s="138"/>
      <c r="G1" s="88"/>
      <c r="H1" s="88"/>
      <c r="I1" s="88"/>
      <c r="J1" s="88"/>
      <c r="N1" s="88">
        <v>46104</v>
      </c>
    </row>
    <row r="2" spans="1:14" x14ac:dyDescent="0.25">
      <c r="A2" s="37"/>
      <c r="B2" s="111"/>
      <c r="C2" s="111"/>
      <c r="D2" s="111"/>
      <c r="E2" s="111"/>
    </row>
    <row r="3" spans="1:14" x14ac:dyDescent="0.25">
      <c r="A3" s="37" t="s">
        <v>326</v>
      </c>
      <c r="E3" s="89" t="s">
        <v>513</v>
      </c>
    </row>
    <row r="4" spans="1:14" ht="30" x14ac:dyDescent="0.25">
      <c r="D4" s="38" t="s">
        <v>134</v>
      </c>
      <c r="E4" s="38" t="s">
        <v>527</v>
      </c>
      <c r="F4" s="38" t="s">
        <v>182</v>
      </c>
      <c r="G4" s="38" t="s">
        <v>143</v>
      </c>
      <c r="H4" s="38" t="s">
        <v>528</v>
      </c>
      <c r="I4" s="38" t="s">
        <v>529</v>
      </c>
      <c r="J4" s="38" t="s">
        <v>247</v>
      </c>
      <c r="K4" s="8" t="s">
        <v>530</v>
      </c>
      <c r="L4" s="8" t="s">
        <v>531</v>
      </c>
      <c r="M4" s="4"/>
    </row>
    <row r="5" spans="1:14" ht="15" customHeight="1" x14ac:dyDescent="0.25">
      <c r="A5" s="195" t="s">
        <v>514</v>
      </c>
      <c r="B5" s="195"/>
      <c r="C5" s="115">
        <v>44.09</v>
      </c>
      <c r="D5">
        <f t="shared" ref="D5:M17" si="0">$C5/$C$18*D$18</f>
        <v>11.431457439574706</v>
      </c>
      <c r="E5">
        <f t="shared" si="0"/>
        <v>3.0277543313458506</v>
      </c>
      <c r="F5">
        <f t="shared" si="0"/>
        <v>1.0393968428801836</v>
      </c>
      <c r="G5">
        <f t="shared" si="0"/>
        <v>2.8649196221346807</v>
      </c>
      <c r="H5">
        <f>$C5/$C$18*H$18</f>
        <v>1.2279501199795446</v>
      </c>
      <c r="I5">
        <f>$C5/$C$18*I$18</f>
        <v>2.2913806920037993</v>
      </c>
      <c r="J5">
        <f>$C5/$C$18*J$18</f>
        <v>6.5485717657504772</v>
      </c>
      <c r="K5">
        <f t="shared" si="0"/>
        <v>1.7368705288653363</v>
      </c>
      <c r="L5">
        <f t="shared" si="0"/>
        <v>4.6984701624641048</v>
      </c>
      <c r="M5">
        <f t="shared" si="0"/>
        <v>0</v>
      </c>
    </row>
    <row r="6" spans="1:14" ht="15" customHeight="1" x14ac:dyDescent="0.25">
      <c r="A6" s="195" t="s">
        <v>515</v>
      </c>
      <c r="B6" s="195"/>
      <c r="C6" s="115">
        <v>134.09</v>
      </c>
      <c r="D6">
        <f t="shared" si="0"/>
        <v>34.766253755331647</v>
      </c>
      <c r="E6">
        <f t="shared" si="0"/>
        <v>9.2082462755764354</v>
      </c>
      <c r="F6">
        <f t="shared" si="0"/>
        <v>3.1610960004945294</v>
      </c>
      <c r="G6">
        <f t="shared" si="0"/>
        <v>8.7130204611485436</v>
      </c>
      <c r="H6">
        <f t="shared" si="0"/>
        <v>3.7345391605365643</v>
      </c>
      <c r="I6">
        <f t="shared" si="0"/>
        <v>6.9687284416146387</v>
      </c>
      <c r="J6">
        <f t="shared" si="0"/>
        <v>19.916035111578168</v>
      </c>
      <c r="K6">
        <f t="shared" si="0"/>
        <v>5.2823082153674967</v>
      </c>
      <c r="L6">
        <f t="shared" si="0"/>
        <v>14.289359584595413</v>
      </c>
      <c r="M6">
        <f t="shared" si="0"/>
        <v>0</v>
      </c>
    </row>
    <row r="7" spans="1:14" ht="15" customHeight="1" x14ac:dyDescent="0.25">
      <c r="A7" s="195" t="s">
        <v>516</v>
      </c>
      <c r="B7" s="195"/>
      <c r="C7" s="115">
        <v>108.18</v>
      </c>
      <c r="D7">
        <f t="shared" si="0"/>
        <v>28.048425171539844</v>
      </c>
      <c r="E7">
        <f t="shared" si="0"/>
        <v>7.4289513169651649</v>
      </c>
      <c r="F7">
        <f t="shared" si="0"/>
        <v>2.5502823874524441</v>
      </c>
      <c r="G7">
        <f t="shared" si="0"/>
        <v>7.0294172084946647</v>
      </c>
      <c r="H7">
        <f t="shared" si="0"/>
        <v>3.012920026749538</v>
      </c>
      <c r="I7">
        <f t="shared" si="0"/>
        <v>5.6221719950322298</v>
      </c>
      <c r="J7">
        <f t="shared" si="0"/>
        <v>16.067690941684887</v>
      </c>
      <c r="K7">
        <f t="shared" si="0"/>
        <v>4.2616160991755976</v>
      </c>
      <c r="L7">
        <f t="shared" si="0"/>
        <v>11.528249085401834</v>
      </c>
      <c r="M7">
        <f t="shared" si="0"/>
        <v>0</v>
      </c>
    </row>
    <row r="8" spans="1:14" ht="15" customHeight="1" x14ac:dyDescent="0.25">
      <c r="A8" s="195" t="s">
        <v>517</v>
      </c>
      <c r="B8" s="195"/>
      <c r="C8" s="115">
        <v>121.66</v>
      </c>
      <c r="D8">
        <f t="shared" si="0"/>
        <v>31.543459108610989</v>
      </c>
      <c r="E8">
        <f t="shared" si="0"/>
        <v>8.3546516659454788</v>
      </c>
      <c r="F8">
        <f t="shared" si="0"/>
        <v>2.8680657723929035</v>
      </c>
      <c r="G8">
        <f t="shared" si="0"/>
        <v>7.905332756382518</v>
      </c>
      <c r="H8">
        <f t="shared" si="0"/>
        <v>3.3883513630463002</v>
      </c>
      <c r="I8">
        <f t="shared" si="0"/>
        <v>6.3227347468628299</v>
      </c>
      <c r="J8">
        <f t="shared" si="0"/>
        <v>18.069839896148853</v>
      </c>
      <c r="K8">
        <f t="shared" si="0"/>
        <v>4.7926438771094757</v>
      </c>
      <c r="L8">
        <f t="shared" si="0"/>
        <v>12.964751189961055</v>
      </c>
      <c r="M8">
        <f t="shared" si="0"/>
        <v>0</v>
      </c>
    </row>
    <row r="9" spans="1:14" ht="15.75" customHeight="1" x14ac:dyDescent="0.25">
      <c r="A9" s="195" t="s">
        <v>518</v>
      </c>
      <c r="B9" s="195"/>
      <c r="C9" s="115">
        <v>54.38</v>
      </c>
      <c r="D9">
        <f t="shared" si="0"/>
        <v>14.099402485009582</v>
      </c>
      <c r="E9">
        <f t="shared" si="0"/>
        <v>3.7343905769695476</v>
      </c>
      <c r="F9">
        <f t="shared" si="0"/>
        <v>1.281977779900757</v>
      </c>
      <c r="G9">
        <f t="shared" si="0"/>
        <v>3.5335524847285993</v>
      </c>
      <c r="H9">
        <f t="shared" si="0"/>
        <v>1.5145368002832305</v>
      </c>
      <c r="I9">
        <f t="shared" si="0"/>
        <v>2.826157451375972</v>
      </c>
      <c r="J9">
        <f t="shared" si="0"/>
        <v>8.0769184082901102</v>
      </c>
      <c r="K9">
        <f t="shared" si="0"/>
        <v>2.1422322376887499</v>
      </c>
      <c r="L9">
        <f t="shared" si="0"/>
        <v>5.7950285197277847</v>
      </c>
      <c r="M9">
        <f t="shared" si="0"/>
        <v>0</v>
      </c>
    </row>
    <row r="10" spans="1:14" ht="15.75" customHeight="1" x14ac:dyDescent="0.25">
      <c r="A10" s="195" t="s">
        <v>519</v>
      </c>
      <c r="B10" s="195"/>
      <c r="C10" s="115">
        <v>108.76</v>
      </c>
      <c r="D10">
        <f t="shared" si="0"/>
        <v>28.198804970019165</v>
      </c>
      <c r="E10">
        <f t="shared" si="0"/>
        <v>7.4687811539390951</v>
      </c>
      <c r="F10">
        <f t="shared" si="0"/>
        <v>2.563955559801514</v>
      </c>
      <c r="G10">
        <f t="shared" si="0"/>
        <v>7.0671049694571986</v>
      </c>
      <c r="H10">
        <f t="shared" si="0"/>
        <v>3.0290736005664609</v>
      </c>
      <c r="I10">
        <f t="shared" si="0"/>
        <v>5.6523149027519439</v>
      </c>
      <c r="J10">
        <f t="shared" si="0"/>
        <v>16.15383681658022</v>
      </c>
      <c r="K10">
        <f t="shared" si="0"/>
        <v>4.2844644753774999</v>
      </c>
      <c r="L10">
        <f t="shared" si="0"/>
        <v>11.590057039455569</v>
      </c>
      <c r="M10">
        <f t="shared" si="0"/>
        <v>0</v>
      </c>
    </row>
    <row r="11" spans="1:14" x14ac:dyDescent="0.25">
      <c r="A11" s="195" t="s">
        <v>520</v>
      </c>
      <c r="B11" s="195"/>
      <c r="C11" s="115">
        <v>53.91</v>
      </c>
      <c r="D11">
        <f t="shared" si="0"/>
        <v>13.977542993138405</v>
      </c>
      <c r="E11">
        <f t="shared" si="0"/>
        <v>3.7021146745941205</v>
      </c>
      <c r="F11">
        <f t="shared" si="0"/>
        <v>1.270897795410993</v>
      </c>
      <c r="G11">
        <f t="shared" si="0"/>
        <v>3.5030124025693037</v>
      </c>
      <c r="H11">
        <f t="shared" si="0"/>
        <v>1.5014468352936547</v>
      </c>
      <c r="I11">
        <f t="shared" si="0"/>
        <v>2.8017313020168926</v>
      </c>
      <c r="J11">
        <f t="shared" si="0"/>
        <v>8.0071105441507857</v>
      </c>
      <c r="K11">
        <f t="shared" si="0"/>
        <v>2.1237171742147938</v>
      </c>
      <c r="L11">
        <f t="shared" si="0"/>
        <v>5.7449427638566526</v>
      </c>
      <c r="M11">
        <f t="shared" si="0"/>
        <v>0</v>
      </c>
    </row>
    <row r="12" spans="1:14" ht="15" customHeight="1" x14ac:dyDescent="0.25">
      <c r="A12" s="195" t="s">
        <v>521</v>
      </c>
      <c r="B12" s="195"/>
      <c r="C12" s="115">
        <v>107.89</v>
      </c>
      <c r="D12">
        <f>$C12/$C$18*D$18</f>
        <v>27.973235272300176</v>
      </c>
      <c r="E12">
        <f>$C12/$C$18*E$18</f>
        <v>7.4090363984781984</v>
      </c>
      <c r="F12">
        <f t="shared" si="0"/>
        <v>2.5434458012779086</v>
      </c>
      <c r="G12">
        <f t="shared" si="0"/>
        <v>7.0105733280133968</v>
      </c>
      <c r="H12">
        <f t="shared" si="0"/>
        <v>3.0048432398410765</v>
      </c>
      <c r="I12">
        <f t="shared" si="0"/>
        <v>5.6071005411723718</v>
      </c>
      <c r="J12">
        <f t="shared" si="0"/>
        <v>16.024618004237215</v>
      </c>
      <c r="K12">
        <f t="shared" si="0"/>
        <v>4.2501919110746451</v>
      </c>
      <c r="L12">
        <f t="shared" si="0"/>
        <v>11.497345108374965</v>
      </c>
      <c r="M12">
        <f t="shared" si="0"/>
        <v>0</v>
      </c>
    </row>
    <row r="13" spans="1:14" ht="15" customHeight="1" x14ac:dyDescent="0.25">
      <c r="A13" s="195" t="s">
        <v>522</v>
      </c>
      <c r="B13" s="195"/>
      <c r="C13" s="115">
        <v>214.62</v>
      </c>
      <c r="D13">
        <f t="shared" ref="D13:E17" si="1">$C13/$C$18*D$18</f>
        <v>55.64571094764171</v>
      </c>
      <c r="E13">
        <f t="shared" si="1"/>
        <v>14.738413123008536</v>
      </c>
      <c r="F13">
        <f t="shared" si="0"/>
        <v>5.0595452578576774</v>
      </c>
      <c r="G13">
        <f t="shared" si="0"/>
        <v>13.945771134101726</v>
      </c>
      <c r="H13">
        <f t="shared" si="0"/>
        <v>5.9773793320483071</v>
      </c>
      <c r="I13">
        <f t="shared" si="0"/>
        <v>11.153915266905315</v>
      </c>
      <c r="J13">
        <f t="shared" si="0"/>
        <v>31.876944258683768</v>
      </c>
      <c r="K13">
        <f t="shared" si="0"/>
        <v>8.4546870697454857</v>
      </c>
      <c r="L13">
        <f t="shared" si="0"/>
        <v>22.871074308642459</v>
      </c>
      <c r="M13">
        <f t="shared" si="0"/>
        <v>0</v>
      </c>
    </row>
    <row r="14" spans="1:14" ht="15" customHeight="1" x14ac:dyDescent="0.25">
      <c r="A14" s="195" t="s">
        <v>523</v>
      </c>
      <c r="B14" s="195"/>
      <c r="C14" s="115">
        <v>165.62</v>
      </c>
      <c r="D14">
        <f t="shared" si="1"/>
        <v>42.94121073128516</v>
      </c>
      <c r="E14">
        <f t="shared" si="1"/>
        <v>11.373478620038551</v>
      </c>
      <c r="F14">
        <f t="shared" si="0"/>
        <v>3.9043979387120888</v>
      </c>
      <c r="G14">
        <f t="shared" si="0"/>
        <v>10.761805121749735</v>
      </c>
      <c r="H14">
        <f t="shared" si="0"/>
        <v>4.6126808544117068</v>
      </c>
      <c r="I14">
        <f t="shared" si="0"/>
        <v>8.6073592698949692</v>
      </c>
      <c r="J14">
        <f t="shared" si="0"/>
        <v>24.599103103733135</v>
      </c>
      <c r="K14">
        <f t="shared" si="0"/>
        <v>6.5243932182054207</v>
      </c>
      <c r="L14">
        <f t="shared" si="0"/>
        <v>17.649367845482082</v>
      </c>
      <c r="M14">
        <f t="shared" si="0"/>
        <v>0</v>
      </c>
    </row>
    <row r="15" spans="1:14" ht="15" customHeight="1" x14ac:dyDescent="0.25">
      <c r="A15" s="195" t="s">
        <v>524</v>
      </c>
      <c r="B15" s="195"/>
      <c r="C15" s="115">
        <v>222.42</v>
      </c>
      <c r="D15">
        <f t="shared" si="1"/>
        <v>57.668059961673976</v>
      </c>
      <c r="E15">
        <f t="shared" si="1"/>
        <v>15.274055758175185</v>
      </c>
      <c r="F15">
        <f t="shared" si="0"/>
        <v>5.2434258515175864</v>
      </c>
      <c r="G15">
        <f t="shared" si="0"/>
        <v>14.452606540149594</v>
      </c>
      <c r="H15">
        <f t="shared" si="0"/>
        <v>6.194617048896581</v>
      </c>
      <c r="I15">
        <f t="shared" si="0"/>
        <v>11.559285405204919</v>
      </c>
      <c r="J15">
        <f t="shared" si="0"/>
        <v>33.035457748655496</v>
      </c>
      <c r="K15">
        <f t="shared" si="0"/>
        <v>8.7619583359090054</v>
      </c>
      <c r="L15">
        <f t="shared" si="0"/>
        <v>23.70228472522717</v>
      </c>
      <c r="M15">
        <f t="shared" si="0"/>
        <v>0</v>
      </c>
    </row>
    <row r="16" spans="1:14" ht="15" customHeight="1" x14ac:dyDescent="0.25">
      <c r="A16" s="195" t="s">
        <v>525</v>
      </c>
      <c r="B16" s="195"/>
      <c r="C16" s="115">
        <v>387.97</v>
      </c>
      <c r="D16">
        <f t="shared" si="1"/>
        <v>100.59112140693577</v>
      </c>
      <c r="E16">
        <f t="shared" si="1"/>
        <v>26.642727328923783</v>
      </c>
      <c r="F16">
        <f t="shared" si="0"/>
        <v>9.1461735797737536</v>
      </c>
      <c r="G16">
        <f t="shared" si="0"/>
        <v>25.209863139024542</v>
      </c>
      <c r="H16">
        <f t="shared" si="0"/>
        <v>10.805348334054523</v>
      </c>
      <c r="I16">
        <f t="shared" si="0"/>
        <v>20.163006737961304</v>
      </c>
      <c r="J16">
        <f t="shared" si="0"/>
        <v>57.624163936452995</v>
      </c>
      <c r="K16">
        <f t="shared" si="0"/>
        <v>15.28359399146937</v>
      </c>
      <c r="L16">
        <f t="shared" si="0"/>
        <v>41.344192990047603</v>
      </c>
      <c r="M16">
        <f t="shared" si="0"/>
        <v>0</v>
      </c>
    </row>
    <row r="17" spans="1:13" ht="15.75" customHeight="1" thickBot="1" x14ac:dyDescent="0.3">
      <c r="A17" s="195" t="s">
        <v>526</v>
      </c>
      <c r="B17" s="195"/>
      <c r="C17" s="115">
        <v>55.88</v>
      </c>
      <c r="D17">
        <f t="shared" si="1"/>
        <v>14.488315756938864</v>
      </c>
      <c r="E17">
        <f t="shared" si="1"/>
        <v>3.837398776040057</v>
      </c>
      <c r="F17">
        <f t="shared" si="0"/>
        <v>1.3173394325276628</v>
      </c>
      <c r="G17">
        <f t="shared" si="0"/>
        <v>3.6310208320454964</v>
      </c>
      <c r="H17">
        <f t="shared" si="0"/>
        <v>1.556313284292514</v>
      </c>
      <c r="I17">
        <f t="shared" si="0"/>
        <v>2.9041132472028188</v>
      </c>
      <c r="J17">
        <f t="shared" si="0"/>
        <v>8.2997094640539029</v>
      </c>
      <c r="K17">
        <f t="shared" si="0"/>
        <v>2.2013228657971191</v>
      </c>
      <c r="L17">
        <f t="shared" si="0"/>
        <v>5.9548766767633055</v>
      </c>
      <c r="M17">
        <f t="shared" si="0"/>
        <v>0</v>
      </c>
    </row>
    <row r="18" spans="1:13" x14ac:dyDescent="0.25">
      <c r="A18" s="137" t="s">
        <v>6</v>
      </c>
      <c r="B18" s="137"/>
      <c r="C18" s="12">
        <f>SUM(C5:C17)</f>
        <v>1779.47</v>
      </c>
      <c r="D18" s="2">
        <v>461.37299999999999</v>
      </c>
      <c r="E18" s="2">
        <v>122.2</v>
      </c>
      <c r="F18" s="2">
        <v>41.95</v>
      </c>
      <c r="G18" s="2">
        <v>115.628</v>
      </c>
      <c r="H18" s="2">
        <v>49.56</v>
      </c>
      <c r="I18" s="2">
        <v>92.48</v>
      </c>
      <c r="J18" s="2">
        <v>264.3</v>
      </c>
      <c r="K18" s="2">
        <v>70.099999999999994</v>
      </c>
      <c r="L18" s="2">
        <v>189.63</v>
      </c>
      <c r="M18" s="2"/>
    </row>
    <row r="19" spans="1:13" x14ac:dyDescent="0.25">
      <c r="F19" s="91"/>
    </row>
    <row r="20" spans="1:13" x14ac:dyDescent="0.25">
      <c r="F20" s="91"/>
    </row>
    <row r="21" spans="1:13" s="47" customFormat="1" ht="27" customHeight="1" x14ac:dyDescent="0.25">
      <c r="D21" s="38" t="str">
        <f t="shared" ref="D21:F21" si="2">D4</f>
        <v>900dne Турция</v>
      </c>
      <c r="E21" s="38" t="str">
        <f t="shared" si="2"/>
        <v xml:space="preserve">300dne </v>
      </c>
      <c r="F21" s="38" t="str">
        <f t="shared" si="2"/>
        <v>300dne Турция</v>
      </c>
      <c r="G21" s="38" t="str">
        <f>G4</f>
        <v>150dne суровая</v>
      </c>
      <c r="H21" s="38" t="str">
        <f t="shared" ref="H21:M21" si="3">H4</f>
        <v>Эластан</v>
      </c>
      <c r="I21" s="38" t="str">
        <f t="shared" si="3"/>
        <v>Вискоза 29текс</v>
      </c>
      <c r="J21" s="38" t="str">
        <f t="shared" si="3"/>
        <v>Вискоза 20текс</v>
      </c>
      <c r="K21" s="38" t="str">
        <f t="shared" si="3"/>
        <v>Нить 212 Белор</v>
      </c>
      <c r="L21" s="38" t="str">
        <f t="shared" si="3"/>
        <v>Нить 212 Китай</v>
      </c>
      <c r="M21" s="38">
        <f t="shared" si="3"/>
        <v>0</v>
      </c>
    </row>
    <row r="22" spans="1:13" x14ac:dyDescent="0.25">
      <c r="A22" s="141" t="str">
        <f t="shared" ref="A22:A34" si="4">A5</f>
        <v xml:space="preserve">Производство 1678 от 07.03.2026 </v>
      </c>
      <c r="B22" s="141"/>
      <c r="C22" s="22">
        <f t="shared" ref="C22:C34" si="5">C5</f>
        <v>44.09</v>
      </c>
      <c r="D22">
        <f t="shared" ref="D22:M34" si="6">ROUND(D5,3)</f>
        <v>11.430999999999999</v>
      </c>
      <c r="E22">
        <f t="shared" si="6"/>
        <v>3.028</v>
      </c>
      <c r="F22">
        <f t="shared" si="6"/>
        <v>1.0389999999999999</v>
      </c>
      <c r="G22">
        <f t="shared" si="6"/>
        <v>2.8650000000000002</v>
      </c>
      <c r="H22">
        <f t="shared" ref="H22:J22" si="7">ROUND(H5,3)</f>
        <v>1.228</v>
      </c>
      <c r="I22">
        <f t="shared" si="7"/>
        <v>2.2909999999999999</v>
      </c>
      <c r="J22">
        <f t="shared" si="7"/>
        <v>6.5490000000000004</v>
      </c>
      <c r="K22">
        <f t="shared" si="6"/>
        <v>1.7370000000000001</v>
      </c>
      <c r="L22">
        <f t="shared" si="6"/>
        <v>4.6980000000000004</v>
      </c>
      <c r="M22">
        <f t="shared" si="6"/>
        <v>0</v>
      </c>
    </row>
    <row r="23" spans="1:13" x14ac:dyDescent="0.25">
      <c r="A23" s="141" t="str">
        <f t="shared" si="4"/>
        <v xml:space="preserve">Производство 1679 от 08.03.2026 </v>
      </c>
      <c r="B23" s="141"/>
      <c r="C23" s="22">
        <f t="shared" si="5"/>
        <v>134.09</v>
      </c>
      <c r="D23">
        <f t="shared" si="6"/>
        <v>34.765999999999998</v>
      </c>
      <c r="E23">
        <f t="shared" si="6"/>
        <v>9.2080000000000002</v>
      </c>
      <c r="F23">
        <f t="shared" si="6"/>
        <v>3.161</v>
      </c>
      <c r="G23">
        <f t="shared" si="6"/>
        <v>8.7129999999999992</v>
      </c>
      <c r="H23">
        <f t="shared" ref="H23:J23" si="8">ROUND(H6,3)</f>
        <v>3.7349999999999999</v>
      </c>
      <c r="I23">
        <f t="shared" si="8"/>
        <v>6.9690000000000003</v>
      </c>
      <c r="J23">
        <f t="shared" si="8"/>
        <v>19.916</v>
      </c>
      <c r="K23">
        <f t="shared" si="6"/>
        <v>5.282</v>
      </c>
      <c r="L23">
        <f t="shared" si="6"/>
        <v>14.289</v>
      </c>
      <c r="M23">
        <f t="shared" si="6"/>
        <v>0</v>
      </c>
    </row>
    <row r="24" spans="1:13" x14ac:dyDescent="0.25">
      <c r="A24" s="141" t="str">
        <f t="shared" si="4"/>
        <v xml:space="preserve">Производство 1682 от 09.03.2026 </v>
      </c>
      <c r="B24" s="141"/>
      <c r="C24" s="22">
        <f t="shared" si="5"/>
        <v>108.18</v>
      </c>
      <c r="D24">
        <f t="shared" si="6"/>
        <v>28.047999999999998</v>
      </c>
      <c r="E24">
        <f t="shared" si="6"/>
        <v>7.4290000000000003</v>
      </c>
      <c r="F24">
        <f t="shared" si="6"/>
        <v>2.5499999999999998</v>
      </c>
      <c r="G24">
        <f t="shared" si="6"/>
        <v>7.0289999999999999</v>
      </c>
      <c r="H24">
        <f t="shared" ref="H24:J24" si="9">ROUND(H7,3)</f>
        <v>3.0129999999999999</v>
      </c>
      <c r="I24">
        <f t="shared" si="9"/>
        <v>5.6219999999999999</v>
      </c>
      <c r="J24">
        <f t="shared" si="9"/>
        <v>16.068000000000001</v>
      </c>
      <c r="K24">
        <f t="shared" si="6"/>
        <v>4.2619999999999996</v>
      </c>
      <c r="L24">
        <f t="shared" si="6"/>
        <v>11.528</v>
      </c>
      <c r="M24">
        <f t="shared" si="6"/>
        <v>0</v>
      </c>
    </row>
    <row r="25" spans="1:13" x14ac:dyDescent="0.25">
      <c r="A25" s="141" t="str">
        <f t="shared" si="4"/>
        <v xml:space="preserve">Производство 1710 от 10.03.2026 </v>
      </c>
      <c r="B25" s="141"/>
      <c r="C25" s="22">
        <f t="shared" si="5"/>
        <v>121.66</v>
      </c>
      <c r="D25">
        <f t="shared" si="6"/>
        <v>31.542999999999999</v>
      </c>
      <c r="E25">
        <f t="shared" si="6"/>
        <v>8.3550000000000004</v>
      </c>
      <c r="F25">
        <f t="shared" si="6"/>
        <v>2.8679999999999999</v>
      </c>
      <c r="G25">
        <f t="shared" si="6"/>
        <v>7.9050000000000002</v>
      </c>
      <c r="H25">
        <f t="shared" ref="H25:J25" si="10">ROUND(H8,3)</f>
        <v>3.3879999999999999</v>
      </c>
      <c r="I25">
        <f t="shared" si="10"/>
        <v>6.3230000000000004</v>
      </c>
      <c r="J25">
        <f t="shared" si="10"/>
        <v>18.07</v>
      </c>
      <c r="K25">
        <f t="shared" si="6"/>
        <v>4.7930000000000001</v>
      </c>
      <c r="L25">
        <f t="shared" si="6"/>
        <v>12.965</v>
      </c>
      <c r="M25">
        <f t="shared" si="6"/>
        <v>0</v>
      </c>
    </row>
    <row r="26" spans="1:13" x14ac:dyDescent="0.25">
      <c r="A26" s="141" t="str">
        <f t="shared" si="4"/>
        <v xml:space="preserve">Производство 1726 от 11.03.2026 </v>
      </c>
      <c r="B26" s="141"/>
      <c r="C26" s="22">
        <f t="shared" si="5"/>
        <v>54.38</v>
      </c>
      <c r="D26">
        <f t="shared" si="6"/>
        <v>14.099</v>
      </c>
      <c r="E26">
        <f t="shared" si="6"/>
        <v>3.734</v>
      </c>
      <c r="F26">
        <f t="shared" si="6"/>
        <v>1.282</v>
      </c>
      <c r="G26">
        <f t="shared" si="6"/>
        <v>3.5339999999999998</v>
      </c>
      <c r="H26">
        <f t="shared" ref="H26:J26" si="11">ROUND(H9,3)</f>
        <v>1.5149999999999999</v>
      </c>
      <c r="I26">
        <f t="shared" si="11"/>
        <v>2.8260000000000001</v>
      </c>
      <c r="J26">
        <f t="shared" si="11"/>
        <v>8.077</v>
      </c>
      <c r="K26">
        <f t="shared" si="6"/>
        <v>2.1419999999999999</v>
      </c>
      <c r="L26">
        <f t="shared" si="6"/>
        <v>5.7949999999999999</v>
      </c>
      <c r="M26">
        <f t="shared" si="6"/>
        <v>0</v>
      </c>
    </row>
    <row r="27" spans="1:13" x14ac:dyDescent="0.25">
      <c r="A27" s="141" t="str">
        <f t="shared" si="4"/>
        <v xml:space="preserve">Производство 1737 от 12.03.2026 </v>
      </c>
      <c r="B27" s="141"/>
      <c r="C27" s="22">
        <f t="shared" si="5"/>
        <v>108.76</v>
      </c>
      <c r="D27">
        <f t="shared" si="6"/>
        <v>28.199000000000002</v>
      </c>
      <c r="E27">
        <f t="shared" si="6"/>
        <v>7.4690000000000003</v>
      </c>
      <c r="F27">
        <f t="shared" si="6"/>
        <v>2.5640000000000001</v>
      </c>
      <c r="G27">
        <f t="shared" si="6"/>
        <v>7.0670000000000002</v>
      </c>
      <c r="H27">
        <f t="shared" ref="H27:J27" si="12">ROUND(H10,3)</f>
        <v>3.0289999999999999</v>
      </c>
      <c r="I27">
        <f t="shared" si="12"/>
        <v>5.6520000000000001</v>
      </c>
      <c r="J27">
        <f t="shared" si="12"/>
        <v>16.154</v>
      </c>
      <c r="K27">
        <f t="shared" si="6"/>
        <v>4.2839999999999998</v>
      </c>
      <c r="L27">
        <f t="shared" si="6"/>
        <v>11.59</v>
      </c>
      <c r="M27">
        <f t="shared" si="6"/>
        <v>0</v>
      </c>
    </row>
    <row r="28" spans="1:13" x14ac:dyDescent="0.25">
      <c r="A28" s="141" t="str">
        <f t="shared" si="4"/>
        <v xml:space="preserve">Производство 1770 от 12.03.2026 </v>
      </c>
      <c r="B28" s="141"/>
      <c r="C28" s="22">
        <f t="shared" si="5"/>
        <v>53.91</v>
      </c>
      <c r="D28">
        <f t="shared" si="6"/>
        <v>13.978</v>
      </c>
      <c r="E28">
        <f t="shared" si="6"/>
        <v>3.702</v>
      </c>
      <c r="F28">
        <f t="shared" si="6"/>
        <v>1.2709999999999999</v>
      </c>
      <c r="G28">
        <f t="shared" si="6"/>
        <v>3.5030000000000001</v>
      </c>
      <c r="H28">
        <f t="shared" ref="H28:J28" si="13">ROUND(H11,3)</f>
        <v>1.5009999999999999</v>
      </c>
      <c r="I28">
        <f t="shared" si="13"/>
        <v>2.802</v>
      </c>
      <c r="J28">
        <f t="shared" si="13"/>
        <v>8.0069999999999997</v>
      </c>
      <c r="K28">
        <f t="shared" si="6"/>
        <v>2.1240000000000001</v>
      </c>
      <c r="L28">
        <f t="shared" si="6"/>
        <v>5.7450000000000001</v>
      </c>
      <c r="M28">
        <f t="shared" si="6"/>
        <v>0</v>
      </c>
    </row>
    <row r="29" spans="1:13" x14ac:dyDescent="0.25">
      <c r="A29" s="141" t="str">
        <f t="shared" si="4"/>
        <v xml:space="preserve">Производство 1778 от 13.03.2026 </v>
      </c>
      <c r="B29" s="141"/>
      <c r="C29" s="22">
        <f t="shared" si="5"/>
        <v>107.89</v>
      </c>
      <c r="D29">
        <f t="shared" si="6"/>
        <v>27.972999999999999</v>
      </c>
      <c r="E29">
        <f t="shared" si="6"/>
        <v>7.4089999999999998</v>
      </c>
      <c r="F29">
        <f t="shared" si="6"/>
        <v>2.5430000000000001</v>
      </c>
      <c r="G29">
        <f t="shared" si="6"/>
        <v>7.0110000000000001</v>
      </c>
      <c r="H29">
        <f t="shared" ref="H29:J29" si="14">ROUND(H12,3)</f>
        <v>3.0049999999999999</v>
      </c>
      <c r="I29">
        <f t="shared" si="14"/>
        <v>5.6070000000000002</v>
      </c>
      <c r="J29">
        <f t="shared" si="14"/>
        <v>16.024999999999999</v>
      </c>
      <c r="K29">
        <f t="shared" si="6"/>
        <v>4.25</v>
      </c>
      <c r="L29">
        <f t="shared" si="6"/>
        <v>11.497</v>
      </c>
      <c r="M29">
        <f t="shared" si="6"/>
        <v>0</v>
      </c>
    </row>
    <row r="30" spans="1:13" x14ac:dyDescent="0.25">
      <c r="A30" s="141" t="str">
        <f t="shared" si="4"/>
        <v xml:space="preserve">Производство 1815 от 16.03.2026 </v>
      </c>
      <c r="B30" s="141"/>
      <c r="C30" s="22">
        <f t="shared" si="5"/>
        <v>214.62</v>
      </c>
      <c r="D30">
        <f t="shared" si="6"/>
        <v>55.646000000000001</v>
      </c>
      <c r="E30">
        <f t="shared" si="6"/>
        <v>14.738</v>
      </c>
      <c r="F30">
        <f t="shared" si="6"/>
        <v>5.0599999999999996</v>
      </c>
      <c r="G30">
        <f t="shared" si="6"/>
        <v>13.946</v>
      </c>
      <c r="H30">
        <f t="shared" ref="H30:J30" si="15">ROUND(H13,3)</f>
        <v>5.9770000000000003</v>
      </c>
      <c r="I30">
        <f t="shared" si="15"/>
        <v>11.154</v>
      </c>
      <c r="J30">
        <f t="shared" si="15"/>
        <v>31.876999999999999</v>
      </c>
      <c r="K30">
        <f t="shared" si="6"/>
        <v>8.4550000000000001</v>
      </c>
      <c r="L30">
        <f t="shared" si="6"/>
        <v>22.870999999999999</v>
      </c>
      <c r="M30">
        <f t="shared" si="6"/>
        <v>0</v>
      </c>
    </row>
    <row r="31" spans="1:13" x14ac:dyDescent="0.25">
      <c r="A31" s="141" t="str">
        <f t="shared" si="4"/>
        <v xml:space="preserve">Производство 1839 от 17.03.2026 </v>
      </c>
      <c r="B31" s="141"/>
      <c r="C31" s="22">
        <f t="shared" si="5"/>
        <v>165.62</v>
      </c>
      <c r="D31">
        <f t="shared" si="6"/>
        <v>42.941000000000003</v>
      </c>
      <c r="E31">
        <f t="shared" si="6"/>
        <v>11.372999999999999</v>
      </c>
      <c r="F31">
        <f t="shared" si="6"/>
        <v>3.9039999999999999</v>
      </c>
      <c r="G31">
        <f t="shared" si="6"/>
        <v>10.762</v>
      </c>
      <c r="H31">
        <f t="shared" ref="H31:J31" si="16">ROUND(H14,3)</f>
        <v>4.6130000000000004</v>
      </c>
      <c r="I31">
        <f t="shared" si="16"/>
        <v>8.6069999999999993</v>
      </c>
      <c r="J31">
        <f t="shared" si="16"/>
        <v>24.599</v>
      </c>
      <c r="K31">
        <f t="shared" si="6"/>
        <v>6.524</v>
      </c>
      <c r="L31">
        <f t="shared" si="6"/>
        <v>17.649000000000001</v>
      </c>
      <c r="M31">
        <f t="shared" si="6"/>
        <v>0</v>
      </c>
    </row>
    <row r="32" spans="1:13" x14ac:dyDescent="0.25">
      <c r="A32" s="141" t="str">
        <f t="shared" si="4"/>
        <v xml:space="preserve">Производство 1852 от 17.03.2026 </v>
      </c>
      <c r="B32" s="141"/>
      <c r="C32" s="22">
        <f t="shared" si="5"/>
        <v>222.42</v>
      </c>
      <c r="D32">
        <f t="shared" si="6"/>
        <v>57.667999999999999</v>
      </c>
      <c r="E32">
        <f t="shared" si="6"/>
        <v>15.273999999999999</v>
      </c>
      <c r="F32">
        <f t="shared" si="6"/>
        <v>5.2430000000000003</v>
      </c>
      <c r="G32">
        <f t="shared" si="6"/>
        <v>14.452999999999999</v>
      </c>
      <c r="H32">
        <f t="shared" ref="H32:J32" si="17">ROUND(H15,3)</f>
        <v>6.1950000000000003</v>
      </c>
      <c r="I32">
        <f t="shared" si="17"/>
        <v>11.558999999999999</v>
      </c>
      <c r="J32">
        <f t="shared" si="17"/>
        <v>33.034999999999997</v>
      </c>
      <c r="K32">
        <f t="shared" si="6"/>
        <v>8.7620000000000005</v>
      </c>
      <c r="L32">
        <f t="shared" si="6"/>
        <v>23.702000000000002</v>
      </c>
      <c r="M32">
        <f t="shared" si="6"/>
        <v>0</v>
      </c>
    </row>
    <row r="33" spans="1:13" x14ac:dyDescent="0.25">
      <c r="A33" s="141" t="str">
        <f t="shared" si="4"/>
        <v xml:space="preserve">Производство 1861 от 18.03.2026 </v>
      </c>
      <c r="B33" s="141"/>
      <c r="C33" s="22">
        <f t="shared" si="5"/>
        <v>387.97</v>
      </c>
      <c r="D33">
        <f t="shared" si="6"/>
        <v>100.59099999999999</v>
      </c>
      <c r="E33">
        <f t="shared" si="6"/>
        <v>26.643000000000001</v>
      </c>
      <c r="F33">
        <f t="shared" si="6"/>
        <v>9.1460000000000008</v>
      </c>
      <c r="G33">
        <f t="shared" si="6"/>
        <v>25.21</v>
      </c>
      <c r="H33">
        <f t="shared" ref="H33:J33" si="18">ROUND(H16,3)</f>
        <v>10.805</v>
      </c>
      <c r="I33">
        <f t="shared" si="18"/>
        <v>20.163</v>
      </c>
      <c r="J33">
        <f t="shared" si="18"/>
        <v>57.624000000000002</v>
      </c>
      <c r="K33">
        <f t="shared" si="6"/>
        <v>15.284000000000001</v>
      </c>
      <c r="L33">
        <f t="shared" si="6"/>
        <v>41.344000000000001</v>
      </c>
      <c r="M33">
        <f t="shared" si="6"/>
        <v>0</v>
      </c>
    </row>
    <row r="34" spans="1:13" ht="15.75" thickBot="1" x14ac:dyDescent="0.3">
      <c r="A34" s="141" t="str">
        <f t="shared" si="4"/>
        <v xml:space="preserve">Производство 1905 от 19.03.2026 </v>
      </c>
      <c r="B34" s="141"/>
      <c r="C34" s="22">
        <f t="shared" si="5"/>
        <v>55.88</v>
      </c>
      <c r="D34">
        <f t="shared" si="6"/>
        <v>14.488</v>
      </c>
      <c r="E34">
        <f t="shared" si="6"/>
        <v>3.8370000000000002</v>
      </c>
      <c r="F34">
        <f t="shared" si="6"/>
        <v>1.3169999999999999</v>
      </c>
      <c r="G34">
        <f t="shared" si="6"/>
        <v>3.6309999999999998</v>
      </c>
      <c r="H34">
        <f t="shared" ref="H34:J34" si="19">ROUND(H17,3)</f>
        <v>1.556</v>
      </c>
      <c r="I34">
        <f t="shared" si="19"/>
        <v>2.9039999999999999</v>
      </c>
      <c r="J34">
        <f t="shared" si="19"/>
        <v>8.3000000000000007</v>
      </c>
      <c r="K34">
        <f t="shared" si="6"/>
        <v>2.2010000000000001</v>
      </c>
      <c r="L34">
        <f t="shared" si="6"/>
        <v>5.9550000000000001</v>
      </c>
      <c r="M34">
        <f t="shared" si="6"/>
        <v>0</v>
      </c>
    </row>
    <row r="35" spans="1:13" ht="15" customHeight="1" x14ac:dyDescent="0.25">
      <c r="A35" s="137" t="s">
        <v>6</v>
      </c>
      <c r="B35" s="137"/>
      <c r="C35" s="12">
        <f>SUM(C22:C34)</f>
        <v>1779.47</v>
      </c>
      <c r="D35" s="2">
        <f>SUM(D22:D34)</f>
        <v>461.37100000000004</v>
      </c>
      <c r="E35" s="2">
        <f>SUM(E22:E34)</f>
        <v>122.19900000000001</v>
      </c>
      <c r="F35" s="2">
        <f t="shared" ref="F35:M35" si="20">SUM(F22:F34)</f>
        <v>41.948</v>
      </c>
      <c r="G35" s="2">
        <f t="shared" si="20"/>
        <v>115.62900000000002</v>
      </c>
      <c r="H35" s="2">
        <f t="shared" si="20"/>
        <v>49.559999999999995</v>
      </c>
      <c r="I35" s="2">
        <f t="shared" si="20"/>
        <v>92.478999999999985</v>
      </c>
      <c r="J35" s="2">
        <f t="shared" si="20"/>
        <v>264.30100000000004</v>
      </c>
      <c r="K35" s="2">
        <f t="shared" si="20"/>
        <v>70.099999999999994</v>
      </c>
      <c r="L35" s="2">
        <f t="shared" si="20"/>
        <v>189.62800000000001</v>
      </c>
      <c r="M35" s="2">
        <f t="shared" si="20"/>
        <v>0</v>
      </c>
    </row>
    <row r="38" spans="1:13" x14ac:dyDescent="0.25">
      <c r="D38" t="s">
        <v>107</v>
      </c>
      <c r="E38" t="s">
        <v>108</v>
      </c>
      <c r="F38" t="s">
        <v>109</v>
      </c>
    </row>
    <row r="39" spans="1:13" x14ac:dyDescent="0.25">
      <c r="C39" t="str">
        <f>D4</f>
        <v>900dne Турция</v>
      </c>
      <c r="D39" s="111">
        <f>D18/C18</f>
        <v>0.25927551461952153</v>
      </c>
      <c r="E39" s="111"/>
      <c r="F39" s="29" t="e">
        <f>D39/E39-1</f>
        <v>#DIV/0!</v>
      </c>
      <c r="G39" s="111"/>
      <c r="H39" s="111"/>
      <c r="I39" s="111"/>
      <c r="J39" s="111"/>
      <c r="K39" s="111"/>
      <c r="L39" s="111"/>
      <c r="M39" s="111"/>
    </row>
    <row r="40" spans="1:13" x14ac:dyDescent="0.25">
      <c r="C40" t="str">
        <f>E4</f>
        <v xml:space="preserve">300dne </v>
      </c>
      <c r="D40" s="111">
        <f>E18/C18</f>
        <v>6.8672132713673173E-2</v>
      </c>
      <c r="E40" s="111"/>
      <c r="F40" s="29" t="e">
        <f t="shared" ref="F40:F42" si="21">D40/E40-1</f>
        <v>#DIV/0!</v>
      </c>
    </row>
    <row r="41" spans="1:13" x14ac:dyDescent="0.25">
      <c r="C41" t="str">
        <f>F4</f>
        <v>300dne Турция</v>
      </c>
      <c r="D41" s="111">
        <f>F18/C18</f>
        <v>2.3574435084603843E-2</v>
      </c>
      <c r="E41" s="111"/>
      <c r="F41" s="29" t="e">
        <f t="shared" si="21"/>
        <v>#DIV/0!</v>
      </c>
      <c r="G41" s="111"/>
      <c r="H41" s="111"/>
      <c r="I41" s="111"/>
      <c r="J41" s="111"/>
      <c r="K41" s="111"/>
      <c r="L41" s="111"/>
      <c r="M41" s="111"/>
    </row>
    <row r="42" spans="1:13" hidden="1" x14ac:dyDescent="0.25">
      <c r="C42">
        <f t="shared" ref="C42:C43" si="22">F5</f>
        <v>1.0393968428801836</v>
      </c>
      <c r="D42" s="111">
        <f>G18/C18</f>
        <v>6.4978898211265151E-2</v>
      </c>
      <c r="E42" s="111"/>
      <c r="F42" s="29" t="e">
        <f t="shared" si="21"/>
        <v>#DIV/0!</v>
      </c>
    </row>
    <row r="43" spans="1:13" hidden="1" x14ac:dyDescent="0.25">
      <c r="C43">
        <f t="shared" si="22"/>
        <v>3.1610960004945294</v>
      </c>
      <c r="D43" s="111"/>
      <c r="E43" s="111"/>
      <c r="F43" s="50"/>
    </row>
    <row r="46" spans="1:13" x14ac:dyDescent="0.25">
      <c r="A46" s="116"/>
      <c r="B46" s="116"/>
      <c r="D46" s="116"/>
      <c r="E46" s="116"/>
      <c r="F46" s="116"/>
      <c r="G46" s="116"/>
      <c r="H46" s="111"/>
      <c r="I46" s="111"/>
      <c r="J46" s="111"/>
    </row>
  </sheetData>
  <mergeCells count="29">
    <mergeCell ref="A9:B9"/>
    <mergeCell ref="A10:B10"/>
    <mergeCell ref="A11:B11"/>
    <mergeCell ref="A12:B12"/>
    <mergeCell ref="A13:B13"/>
    <mergeCell ref="A14:B14"/>
    <mergeCell ref="A31:B31"/>
    <mergeCell ref="A32:B32"/>
    <mergeCell ref="A33:B33"/>
    <mergeCell ref="A34:B34"/>
    <mergeCell ref="A18:B18"/>
    <mergeCell ref="A22:B22"/>
    <mergeCell ref="A23:B23"/>
    <mergeCell ref="A24:B24"/>
    <mergeCell ref="A16:B16"/>
    <mergeCell ref="A17:B17"/>
    <mergeCell ref="A15:B15"/>
    <mergeCell ref="A35:B35"/>
    <mergeCell ref="A25:B25"/>
    <mergeCell ref="A26:B26"/>
    <mergeCell ref="A27:B27"/>
    <mergeCell ref="A28:B28"/>
    <mergeCell ref="A29:B29"/>
    <mergeCell ref="A30:B30"/>
    <mergeCell ref="A1:E1"/>
    <mergeCell ref="A5:B5"/>
    <mergeCell ref="A6:B6"/>
    <mergeCell ref="A7:B7"/>
    <mergeCell ref="A8:B8"/>
  </mergeCells>
  <pageMargins left="0.70866141732283472" right="0.70866141732283472" top="0.74803149606299213" bottom="0.74803149606299213" header="0.31496062992125984" footer="0.31496062992125984"/>
  <pageSetup paperSize="9" scale="69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workbookViewId="0">
      <selection activeCell="A46" sqref="A46:G46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7" customWidth="1"/>
    <col min="7" max="7" width="13.570312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601</v>
      </c>
      <c r="B1" s="138"/>
      <c r="C1" s="138"/>
      <c r="D1" s="138"/>
      <c r="E1" s="138"/>
      <c r="G1" s="88">
        <v>46119</v>
      </c>
    </row>
    <row r="2" spans="1:10" x14ac:dyDescent="0.25">
      <c r="A2" s="37"/>
      <c r="B2" s="133"/>
      <c r="C2" s="133"/>
      <c r="D2" s="133"/>
      <c r="E2" s="133"/>
    </row>
    <row r="3" spans="1:10" x14ac:dyDescent="0.25">
      <c r="A3" s="37" t="s">
        <v>602</v>
      </c>
      <c r="D3" t="s">
        <v>191</v>
      </c>
      <c r="E3" s="89" t="s">
        <v>603</v>
      </c>
    </row>
    <row r="4" spans="1:10" ht="30" x14ac:dyDescent="0.25">
      <c r="D4" s="38" t="s">
        <v>596</v>
      </c>
      <c r="E4" s="38" t="s">
        <v>527</v>
      </c>
      <c r="F4" s="38" t="s">
        <v>604</v>
      </c>
      <c r="G4" s="38" t="s">
        <v>143</v>
      </c>
      <c r="H4" s="4"/>
      <c r="I4" s="4"/>
      <c r="J4" s="4"/>
    </row>
    <row r="5" spans="1:10" ht="15" customHeight="1" x14ac:dyDescent="0.25">
      <c r="A5" s="196" t="s">
        <v>605</v>
      </c>
      <c r="B5" s="196"/>
      <c r="C5" s="136">
        <v>306.74</v>
      </c>
      <c r="D5">
        <f t="shared" ref="D5:J17" si="0">$C5/$C$18*D$18</f>
        <v>75.151024303433417</v>
      </c>
      <c r="E5">
        <f t="shared" si="0"/>
        <v>31.407352867158014</v>
      </c>
      <c r="F5">
        <f t="shared" si="0"/>
        <v>33.403396009347482</v>
      </c>
      <c r="G5">
        <f t="shared" si="0"/>
        <v>26.993450835879923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thickBot="1" x14ac:dyDescent="0.3">
      <c r="A6" s="196" t="s">
        <v>606</v>
      </c>
      <c r="B6" s="196"/>
      <c r="C6" s="136">
        <v>249.56</v>
      </c>
      <c r="D6">
        <f t="shared" si="0"/>
        <v>61.141975696566604</v>
      </c>
      <c r="E6">
        <f t="shared" si="0"/>
        <v>25.552647132841994</v>
      </c>
      <c r="F6">
        <f t="shared" si="0"/>
        <v>27.176603990652527</v>
      </c>
      <c r="G6">
        <f t="shared" si="0"/>
        <v>21.961549164120079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hidden="1" customHeight="1" x14ac:dyDescent="0.25">
      <c r="A7" s="197"/>
      <c r="B7" s="197"/>
      <c r="C7" s="129"/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hidden="1" customHeight="1" thickBot="1" x14ac:dyDescent="0.3">
      <c r="A8" s="197"/>
      <c r="B8" s="197"/>
      <c r="C8" s="129"/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.75" hidden="1" thickBot="1" x14ac:dyDescent="0.3">
      <c r="A9" s="189"/>
      <c r="B9" s="189"/>
      <c r="C9" s="125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t="15.75" hidden="1" thickBot="1" x14ac:dyDescent="0.3">
      <c r="A10" s="189"/>
      <c r="B10" s="189"/>
      <c r="C10" s="125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hidden="1" thickBot="1" x14ac:dyDescent="0.3">
      <c r="A11" s="189"/>
      <c r="B11" s="189"/>
      <c r="C11" s="125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89"/>
      <c r="B12" s="189"/>
      <c r="C12" s="125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556.29999999999995</v>
      </c>
      <c r="D18" s="2">
        <v>136.29300000000001</v>
      </c>
      <c r="E18" s="2">
        <v>56.96</v>
      </c>
      <c r="F18" s="2">
        <v>60.58</v>
      </c>
      <c r="G18" s="2">
        <v>48.954999999999998</v>
      </c>
      <c r="H18" s="2"/>
      <c r="I18" s="2"/>
      <c r="J18" s="2"/>
    </row>
    <row r="19" spans="1:10" x14ac:dyDescent="0.25">
      <c r="F19" s="91"/>
    </row>
    <row r="20" spans="1:10" x14ac:dyDescent="0.25">
      <c r="F20" s="91"/>
    </row>
    <row r="21" spans="1:10" s="47" customFormat="1" ht="27" customHeight="1" x14ac:dyDescent="0.25">
      <c r="D21" s="38" t="str">
        <f t="shared" ref="D21:F21" si="2">D4</f>
        <v>Меланж 25текс (б+ч)</v>
      </c>
      <c r="E21" s="38" t="str">
        <f t="shared" si="2"/>
        <v xml:space="preserve">300dne </v>
      </c>
      <c r="F21" s="38" t="str">
        <f t="shared" si="2"/>
        <v>Нить 150D/48F №149</v>
      </c>
      <c r="G21" s="38" t="str">
        <f>G4</f>
        <v>150dne суровая</v>
      </c>
      <c r="H21" s="48">
        <f t="shared" ref="H21:J21" si="3">H4</f>
        <v>0</v>
      </c>
      <c r="I21" s="48">
        <f t="shared" si="3"/>
        <v>0</v>
      </c>
      <c r="J21" s="48">
        <f t="shared" si="3"/>
        <v>0</v>
      </c>
    </row>
    <row r="22" spans="1:10" x14ac:dyDescent="0.25">
      <c r="A22" s="141" t="str">
        <f t="shared" ref="A22:A34" si="4">A5</f>
        <v xml:space="preserve">Производство 2162 от 01.04.2026 </v>
      </c>
      <c r="B22" s="141"/>
      <c r="C22" s="22">
        <f t="shared" ref="C22:C34" si="5">C5</f>
        <v>306.74</v>
      </c>
      <c r="D22">
        <f t="shared" ref="D22:J34" si="6">ROUND(D5,3)</f>
        <v>75.150999999999996</v>
      </c>
      <c r="E22">
        <f t="shared" si="6"/>
        <v>31.407</v>
      </c>
      <c r="F22">
        <f t="shared" si="6"/>
        <v>33.402999999999999</v>
      </c>
      <c r="G22">
        <f t="shared" si="6"/>
        <v>26.992999999999999</v>
      </c>
      <c r="H22">
        <f t="shared" si="6"/>
        <v>0</v>
      </c>
      <c r="I22">
        <f t="shared" si="6"/>
        <v>0</v>
      </c>
      <c r="J22">
        <f t="shared" si="6"/>
        <v>0</v>
      </c>
    </row>
    <row r="23" spans="1:10" x14ac:dyDescent="0.25">
      <c r="A23" s="141" t="str">
        <f t="shared" si="4"/>
        <v xml:space="preserve">Производство 2214 от 02.04.2026 </v>
      </c>
      <c r="B23" s="141"/>
      <c r="C23" s="22">
        <f t="shared" si="5"/>
        <v>249.56</v>
      </c>
      <c r="D23">
        <f t="shared" si="6"/>
        <v>61.142000000000003</v>
      </c>
      <c r="E23">
        <f t="shared" si="6"/>
        <v>25.553000000000001</v>
      </c>
      <c r="F23">
        <f t="shared" si="6"/>
        <v>27.177</v>
      </c>
      <c r="G23">
        <f t="shared" si="6"/>
        <v>21.962</v>
      </c>
      <c r="H23">
        <f t="shared" si="6"/>
        <v>0</v>
      </c>
      <c r="I23">
        <f t="shared" si="6"/>
        <v>0</v>
      </c>
      <c r="J23">
        <f t="shared" si="6"/>
        <v>0</v>
      </c>
    </row>
    <row r="24" spans="1:10" hidden="1" x14ac:dyDescent="0.25">
      <c r="A24" s="141">
        <f t="shared" si="4"/>
        <v>0</v>
      </c>
      <c r="B24" s="141"/>
      <c r="C24" s="22">
        <f t="shared" si="5"/>
        <v>0</v>
      </c>
      <c r="D24">
        <f t="shared" si="6"/>
        <v>0</v>
      </c>
      <c r="E24">
        <f t="shared" si="6"/>
        <v>0</v>
      </c>
      <c r="F24">
        <f t="shared" si="6"/>
        <v>0</v>
      </c>
      <c r="G24">
        <f t="shared" si="6"/>
        <v>0</v>
      </c>
      <c r="H24">
        <f t="shared" si="6"/>
        <v>0</v>
      </c>
      <c r="I24">
        <f t="shared" si="6"/>
        <v>0</v>
      </c>
      <c r="J24">
        <f t="shared" si="6"/>
        <v>0</v>
      </c>
    </row>
    <row r="25" spans="1:10" hidden="1" x14ac:dyDescent="0.25">
      <c r="A25" s="141">
        <f t="shared" si="4"/>
        <v>0</v>
      </c>
      <c r="B25" s="141"/>
      <c r="C25" s="22">
        <f t="shared" si="5"/>
        <v>0</v>
      </c>
      <c r="D25">
        <f t="shared" si="6"/>
        <v>0</v>
      </c>
      <c r="E25">
        <f t="shared" si="6"/>
        <v>0</v>
      </c>
      <c r="F25">
        <f t="shared" si="6"/>
        <v>0</v>
      </c>
      <c r="G25">
        <f t="shared" si="6"/>
        <v>0</v>
      </c>
      <c r="H25">
        <f t="shared" si="6"/>
        <v>0</v>
      </c>
      <c r="I25">
        <f t="shared" si="6"/>
        <v>0</v>
      </c>
      <c r="J25">
        <f t="shared" si="6"/>
        <v>0</v>
      </c>
    </row>
    <row r="26" spans="1:10" hidden="1" x14ac:dyDescent="0.25">
      <c r="A26" s="141">
        <f t="shared" si="4"/>
        <v>0</v>
      </c>
      <c r="B26" s="141"/>
      <c r="C26" s="22">
        <f t="shared" si="5"/>
        <v>0</v>
      </c>
      <c r="D26">
        <f t="shared" si="6"/>
        <v>0</v>
      </c>
      <c r="E26">
        <f t="shared" si="6"/>
        <v>0</v>
      </c>
      <c r="F26">
        <f t="shared" si="6"/>
        <v>0</v>
      </c>
      <c r="G26">
        <f t="shared" si="6"/>
        <v>0</v>
      </c>
      <c r="H26">
        <f t="shared" si="6"/>
        <v>0</v>
      </c>
      <c r="I26">
        <f t="shared" si="6"/>
        <v>0</v>
      </c>
      <c r="J26">
        <f t="shared" si="6"/>
        <v>0</v>
      </c>
    </row>
    <row r="27" spans="1:10" hidden="1" x14ac:dyDescent="0.25">
      <c r="A27" s="141">
        <f t="shared" si="4"/>
        <v>0</v>
      </c>
      <c r="B27" s="141"/>
      <c r="C27" s="22">
        <f t="shared" si="5"/>
        <v>0</v>
      </c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0</v>
      </c>
      <c r="H27">
        <f t="shared" si="6"/>
        <v>0</v>
      </c>
      <c r="I27">
        <f t="shared" si="6"/>
        <v>0</v>
      </c>
      <c r="J27">
        <f t="shared" si="6"/>
        <v>0</v>
      </c>
    </row>
    <row r="28" spans="1:10" hidden="1" x14ac:dyDescent="0.25">
      <c r="A28" s="141">
        <f t="shared" si="4"/>
        <v>0</v>
      </c>
      <c r="B28" s="141"/>
      <c r="C28" s="22">
        <f t="shared" si="5"/>
        <v>0</v>
      </c>
      <c r="D28">
        <f t="shared" si="6"/>
        <v>0</v>
      </c>
      <c r="E28">
        <f t="shared" si="6"/>
        <v>0</v>
      </c>
      <c r="F28">
        <f t="shared" si="6"/>
        <v>0</v>
      </c>
      <c r="G28">
        <f t="shared" si="6"/>
        <v>0</v>
      </c>
      <c r="H28">
        <f t="shared" si="6"/>
        <v>0</v>
      </c>
      <c r="I28">
        <f t="shared" si="6"/>
        <v>0</v>
      </c>
      <c r="J28">
        <f t="shared" si="6"/>
        <v>0</v>
      </c>
    </row>
    <row r="29" spans="1:10" hidden="1" x14ac:dyDescent="0.25">
      <c r="A29" s="141">
        <f t="shared" si="4"/>
        <v>0</v>
      </c>
      <c r="B29" s="141"/>
      <c r="C29" s="22">
        <f t="shared" si="5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</row>
    <row r="30" spans="1:10" hidden="1" x14ac:dyDescent="0.25">
      <c r="A30" s="141">
        <f t="shared" si="4"/>
        <v>0</v>
      </c>
      <c r="B30" s="141"/>
      <c r="C30" s="22">
        <f t="shared" si="5"/>
        <v>0</v>
      </c>
      <c r="D30">
        <f t="shared" si="6"/>
        <v>0</v>
      </c>
      <c r="E30">
        <f t="shared" si="6"/>
        <v>0</v>
      </c>
      <c r="F30">
        <f t="shared" si="6"/>
        <v>0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0</v>
      </c>
    </row>
    <row r="31" spans="1:10" hidden="1" x14ac:dyDescent="0.25">
      <c r="A31" s="141">
        <f t="shared" si="4"/>
        <v>0</v>
      </c>
      <c r="B31" s="141"/>
      <c r="C31" s="22">
        <f t="shared" si="5"/>
        <v>0</v>
      </c>
      <c r="D31">
        <f t="shared" si="6"/>
        <v>0</v>
      </c>
      <c r="E31">
        <f t="shared" si="6"/>
        <v>0</v>
      </c>
      <c r="F31">
        <f t="shared" si="6"/>
        <v>0</v>
      </c>
      <c r="G31">
        <f t="shared" si="6"/>
        <v>0</v>
      </c>
      <c r="H31">
        <f t="shared" si="6"/>
        <v>0</v>
      </c>
      <c r="I31">
        <f t="shared" si="6"/>
        <v>0</v>
      </c>
      <c r="J31">
        <f t="shared" si="6"/>
        <v>0</v>
      </c>
    </row>
    <row r="32" spans="1:10" hidden="1" x14ac:dyDescent="0.25">
      <c r="A32" s="141">
        <f t="shared" si="4"/>
        <v>0</v>
      </c>
      <c r="B32" s="141"/>
      <c r="C32" s="22">
        <f t="shared" si="5"/>
        <v>0</v>
      </c>
      <c r="D32">
        <f t="shared" si="6"/>
        <v>0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6"/>
        <v>0</v>
      </c>
      <c r="I32">
        <f t="shared" si="6"/>
        <v>0</v>
      </c>
      <c r="J32">
        <f t="shared" si="6"/>
        <v>0</v>
      </c>
    </row>
    <row r="33" spans="1:10" hidden="1" x14ac:dyDescent="0.25">
      <c r="A33" s="141">
        <f t="shared" si="4"/>
        <v>0</v>
      </c>
      <c r="B33" s="141"/>
      <c r="C33" s="22">
        <f t="shared" si="5"/>
        <v>0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0</v>
      </c>
      <c r="H33">
        <f t="shared" si="6"/>
        <v>0</v>
      </c>
      <c r="I33">
        <f t="shared" si="6"/>
        <v>0</v>
      </c>
      <c r="J33">
        <f t="shared" si="6"/>
        <v>0</v>
      </c>
    </row>
    <row r="34" spans="1:10" ht="0.75" customHeight="1" thickBot="1" x14ac:dyDescent="0.3">
      <c r="A34" s="141">
        <f t="shared" si="4"/>
        <v>0</v>
      </c>
      <c r="B34" s="141"/>
      <c r="C34" s="22">
        <f t="shared" si="5"/>
        <v>0</v>
      </c>
      <c r="D34">
        <f t="shared" si="6"/>
        <v>0</v>
      </c>
      <c r="E34">
        <f t="shared" si="6"/>
        <v>0</v>
      </c>
      <c r="F34">
        <f t="shared" si="6"/>
        <v>0</v>
      </c>
      <c r="G34">
        <f t="shared" si="6"/>
        <v>0</v>
      </c>
      <c r="H34">
        <f t="shared" si="6"/>
        <v>0</v>
      </c>
      <c r="I34">
        <f t="shared" si="6"/>
        <v>0</v>
      </c>
      <c r="J34">
        <f t="shared" si="6"/>
        <v>0</v>
      </c>
    </row>
    <row r="35" spans="1:10" ht="15" customHeight="1" x14ac:dyDescent="0.25">
      <c r="A35" s="137" t="s">
        <v>6</v>
      </c>
      <c r="B35" s="137"/>
      <c r="C35" s="12">
        <f>SUM(C22:C34)</f>
        <v>556.29999999999995</v>
      </c>
      <c r="D35" s="2">
        <f>SUM(D22:D34)</f>
        <v>136.29300000000001</v>
      </c>
      <c r="E35" s="2">
        <f>SUM(E22:E34)</f>
        <v>56.96</v>
      </c>
      <c r="F35" s="2">
        <f t="shared" ref="F35:J35" si="7">SUM(F22:F34)</f>
        <v>60.58</v>
      </c>
      <c r="G35" s="2">
        <f t="shared" si="7"/>
        <v>48.954999999999998</v>
      </c>
      <c r="H35" s="2">
        <f t="shared" si="7"/>
        <v>0</v>
      </c>
      <c r="I35" s="2">
        <f t="shared" si="7"/>
        <v>0</v>
      </c>
      <c r="J35" s="2">
        <f t="shared" si="7"/>
        <v>0</v>
      </c>
    </row>
    <row r="37" spans="1:10" x14ac:dyDescent="0.25">
      <c r="C37" s="122" t="s">
        <v>550</v>
      </c>
      <c r="D37" s="186"/>
      <c r="E37" s="187"/>
      <c r="F37" s="188"/>
    </row>
    <row r="38" spans="1:10" x14ac:dyDescent="0.25">
      <c r="C38" s="118"/>
      <c r="D38" s="118" t="s">
        <v>107</v>
      </c>
      <c r="E38" s="118" t="s">
        <v>108</v>
      </c>
      <c r="F38" s="118" t="s">
        <v>109</v>
      </c>
    </row>
    <row r="39" spans="1:10" x14ac:dyDescent="0.25">
      <c r="C39" s="128" t="str">
        <f>D4</f>
        <v>Меланж 25текс (б+ч)</v>
      </c>
      <c r="D39" s="123">
        <f>D18/C18</f>
        <v>0.24499910120438614</v>
      </c>
      <c r="E39" s="123"/>
      <c r="F39" s="124" t="e">
        <f>D39/E39-1</f>
        <v>#DIV/0!</v>
      </c>
      <c r="G39" s="133"/>
      <c r="H39" s="133"/>
      <c r="I39" s="133"/>
      <c r="J39" s="133"/>
    </row>
    <row r="40" spans="1:10" x14ac:dyDescent="0.25">
      <c r="C40" s="118" t="str">
        <f>E4</f>
        <v xml:space="preserve">300dne </v>
      </c>
      <c r="D40" s="123">
        <f>E18/C18</f>
        <v>0.10239079633291391</v>
      </c>
      <c r="E40" s="123">
        <v>0.09</v>
      </c>
      <c r="F40" s="124">
        <f t="shared" ref="F40:F42" si="8">D40/E40-1</f>
        <v>0.1376755148101545</v>
      </c>
    </row>
    <row r="41" spans="1:10" x14ac:dyDescent="0.25">
      <c r="C41" s="131" t="str">
        <f>F4</f>
        <v>Нить 150D/48F №149</v>
      </c>
      <c r="D41" s="123">
        <f>F18/C18</f>
        <v>0.1088980765773863</v>
      </c>
      <c r="E41" s="123">
        <v>9.5000000000000001E-2</v>
      </c>
      <c r="F41" s="124">
        <f t="shared" si="8"/>
        <v>0.1462955429198558</v>
      </c>
      <c r="G41" s="133"/>
      <c r="H41" s="133"/>
      <c r="I41" s="133"/>
      <c r="J41" s="133"/>
    </row>
    <row r="42" spans="1:10" x14ac:dyDescent="0.25">
      <c r="C42" s="128" t="str">
        <f>G4</f>
        <v>150dne суровая</v>
      </c>
      <c r="D42" s="123">
        <f>G18/C18</f>
        <v>8.8001078554736656E-2</v>
      </c>
      <c r="E42" s="123"/>
      <c r="F42" s="124" t="e">
        <f t="shared" si="8"/>
        <v>#DIV/0!</v>
      </c>
    </row>
    <row r="43" spans="1:10" x14ac:dyDescent="0.25">
      <c r="D43" s="133"/>
      <c r="E43" s="133"/>
      <c r="F43" s="50"/>
    </row>
    <row r="44" spans="1:10" x14ac:dyDescent="0.25">
      <c r="A44" s="191" t="s">
        <v>568</v>
      </c>
      <c r="B44" s="191"/>
      <c r="C44" s="191"/>
      <c r="D44" s="191"/>
      <c r="E44" s="191"/>
      <c r="F44" s="191"/>
      <c r="G44" s="191"/>
    </row>
    <row r="46" spans="1:10" x14ac:dyDescent="0.25">
      <c r="A46" s="138"/>
      <c r="B46" s="138"/>
      <c r="C46" s="138"/>
      <c r="D46" s="138"/>
      <c r="E46" s="138"/>
      <c r="F46" s="138"/>
      <c r="G46" s="138"/>
    </row>
  </sheetData>
  <mergeCells count="32">
    <mergeCell ref="A1:E1"/>
    <mergeCell ref="A7:B7"/>
    <mergeCell ref="A8:B8"/>
    <mergeCell ref="A9:B9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44:G44"/>
    <mergeCell ref="A46:G46"/>
    <mergeCell ref="A5:B5"/>
    <mergeCell ref="A6:B6"/>
    <mergeCell ref="A31:B31"/>
    <mergeCell ref="A32:B32"/>
    <mergeCell ref="A33:B33"/>
    <mergeCell ref="A34:B34"/>
    <mergeCell ref="A35:B35"/>
    <mergeCell ref="D37:F37"/>
    <mergeCell ref="A25:B25"/>
    <mergeCell ref="A26:B26"/>
    <mergeCell ref="A27:B27"/>
    <mergeCell ref="A28:B28"/>
    <mergeCell ref="A29:B29"/>
    <mergeCell ref="A30:B30"/>
  </mergeCells>
  <pageMargins left="0.70866141732283472" right="0.70866141732283472" top="0.74803149606299213" bottom="0.74803149606299213" header="0.31496062992125984" footer="0.31496062992125984"/>
  <pageSetup paperSize="9" scale="74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workbookViewId="0">
      <selection activeCell="L50" sqref="K50:L50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7" customWidth="1"/>
    <col min="7" max="7" width="13.570312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569</v>
      </c>
      <c r="B1" s="138"/>
      <c r="C1" s="138"/>
      <c r="D1" s="138"/>
      <c r="E1" s="138"/>
      <c r="G1" s="88">
        <v>46112</v>
      </c>
    </row>
    <row r="2" spans="1:10" x14ac:dyDescent="0.25">
      <c r="A2" s="37"/>
      <c r="B2" s="121"/>
      <c r="C2" s="121"/>
      <c r="D2" s="121"/>
      <c r="E2" s="121"/>
    </row>
    <row r="3" spans="1:10" x14ac:dyDescent="0.25">
      <c r="A3" s="37" t="s">
        <v>570</v>
      </c>
      <c r="D3" t="s">
        <v>591</v>
      </c>
      <c r="E3" s="89" t="s">
        <v>571</v>
      </c>
    </row>
    <row r="4" spans="1:10" ht="30" x14ac:dyDescent="0.25">
      <c r="D4" s="38" t="s">
        <v>143</v>
      </c>
      <c r="E4" s="38" t="s">
        <v>460</v>
      </c>
      <c r="F4" s="38" t="s">
        <v>562</v>
      </c>
      <c r="G4" s="38" t="s">
        <v>564</v>
      </c>
      <c r="H4" s="4"/>
      <c r="I4" s="4"/>
      <c r="J4" s="4"/>
    </row>
    <row r="5" spans="1:10" ht="15" customHeight="1" x14ac:dyDescent="0.25">
      <c r="A5" s="197" t="s">
        <v>572</v>
      </c>
      <c r="B5" s="197"/>
      <c r="C5" s="129">
        <v>187.84</v>
      </c>
      <c r="D5">
        <f t="shared" ref="D5:J17" si="0">$C5/$C$18*D$18</f>
        <v>16.421631072811291</v>
      </c>
      <c r="E5">
        <f t="shared" si="0"/>
        <v>49.034563847542486</v>
      </c>
      <c r="F5">
        <f t="shared" si="0"/>
        <v>41.832505648466686</v>
      </c>
      <c r="G5">
        <f t="shared" si="0"/>
        <v>15.869267118544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97" t="s">
        <v>573</v>
      </c>
      <c r="B6" s="197"/>
      <c r="C6" s="129">
        <v>206.67</v>
      </c>
      <c r="D6">
        <f t="shared" si="0"/>
        <v>18.067815661296365</v>
      </c>
      <c r="E6">
        <f t="shared" si="0"/>
        <v>53.950028270717667</v>
      </c>
      <c r="F6">
        <f t="shared" si="0"/>
        <v>46.026000544977691</v>
      </c>
      <c r="G6">
        <f t="shared" si="0"/>
        <v>17.460080043598214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x14ac:dyDescent="0.25">
      <c r="A7" s="197" t="s">
        <v>574</v>
      </c>
      <c r="B7" s="197"/>
      <c r="C7" s="129">
        <v>137.29</v>
      </c>
      <c r="D7">
        <f t="shared" si="0"/>
        <v>12.00237292369177</v>
      </c>
      <c r="E7">
        <f t="shared" si="0"/>
        <v>35.838773800197551</v>
      </c>
      <c r="F7">
        <f t="shared" si="0"/>
        <v>30.57487596080702</v>
      </c>
      <c r="G7">
        <f t="shared" si="0"/>
        <v>11.598656743531228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customHeight="1" thickBot="1" x14ac:dyDescent="0.3">
      <c r="A8" s="197" t="s">
        <v>575</v>
      </c>
      <c r="B8" s="197"/>
      <c r="C8" s="129">
        <v>348.97</v>
      </c>
      <c r="D8">
        <f t="shared" si="0"/>
        <v>30.508180342200575</v>
      </c>
      <c r="E8">
        <f t="shared" si="0"/>
        <v>91.096634081542291</v>
      </c>
      <c r="F8">
        <f t="shared" si="0"/>
        <v>77.716617845748615</v>
      </c>
      <c r="G8">
        <f t="shared" si="0"/>
        <v>29.481996094326554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idden="1" x14ac:dyDescent="0.25">
      <c r="A9" s="189"/>
      <c r="B9" s="189"/>
      <c r="C9" s="125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idden="1" x14ac:dyDescent="0.25">
      <c r="A10" s="189"/>
      <c r="B10" s="189"/>
      <c r="C10" s="125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idden="1" x14ac:dyDescent="0.25">
      <c r="A11" s="189"/>
      <c r="B11" s="189"/>
      <c r="C11" s="125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89"/>
      <c r="B12" s="189"/>
      <c r="C12" s="125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880.77</v>
      </c>
      <c r="D18" s="2">
        <v>77</v>
      </c>
      <c r="E18" s="2">
        <v>229.92</v>
      </c>
      <c r="F18" s="2">
        <v>196.15</v>
      </c>
      <c r="G18" s="2">
        <v>74.41</v>
      </c>
      <c r="H18" s="2"/>
      <c r="I18" s="2"/>
      <c r="J18" s="2"/>
    </row>
    <row r="19" spans="1:10" x14ac:dyDescent="0.25">
      <c r="F19" s="91"/>
    </row>
    <row r="20" spans="1:10" x14ac:dyDescent="0.25">
      <c r="F20" s="91"/>
    </row>
    <row r="21" spans="1:10" s="47" customFormat="1" ht="27" customHeight="1" x14ac:dyDescent="0.25">
      <c r="D21" s="38" t="str">
        <f t="shared" ref="D21:F21" si="2">D4</f>
        <v>150dne суровая</v>
      </c>
      <c r="E21" s="38" t="str">
        <f t="shared" si="2"/>
        <v xml:space="preserve">600dne Турция </v>
      </c>
      <c r="F21" s="38" t="str">
        <f t="shared" si="2"/>
        <v>Пряжа (хл-виск-лен) 20текс</v>
      </c>
      <c r="G21" s="38" t="str">
        <f>G4</f>
        <v>Трилобал неокраш</v>
      </c>
      <c r="H21" s="48">
        <f t="shared" ref="H21:J21" si="3">H4</f>
        <v>0</v>
      </c>
      <c r="I21" s="48">
        <f t="shared" si="3"/>
        <v>0</v>
      </c>
      <c r="J21" s="48">
        <f t="shared" si="3"/>
        <v>0</v>
      </c>
    </row>
    <row r="22" spans="1:10" x14ac:dyDescent="0.25">
      <c r="A22" s="141" t="str">
        <f t="shared" ref="A22:A34" si="4">A5</f>
        <v xml:space="preserve">Производство 2110 от 27.03.2026 </v>
      </c>
      <c r="B22" s="141"/>
      <c r="C22" s="22">
        <f t="shared" ref="C22:C34" si="5">C5</f>
        <v>187.84</v>
      </c>
      <c r="D22">
        <f t="shared" ref="D22:J34" si="6">ROUND(D5,3)</f>
        <v>16.422000000000001</v>
      </c>
      <c r="E22">
        <f t="shared" si="6"/>
        <v>49.034999999999997</v>
      </c>
      <c r="F22">
        <f t="shared" si="6"/>
        <v>41.832999999999998</v>
      </c>
      <c r="G22">
        <f t="shared" si="6"/>
        <v>15.869</v>
      </c>
      <c r="H22">
        <f t="shared" si="6"/>
        <v>0</v>
      </c>
      <c r="I22">
        <f t="shared" si="6"/>
        <v>0</v>
      </c>
      <c r="J22">
        <f t="shared" si="6"/>
        <v>0</v>
      </c>
    </row>
    <row r="23" spans="1:10" x14ac:dyDescent="0.25">
      <c r="A23" s="141" t="str">
        <f t="shared" si="4"/>
        <v xml:space="preserve">Производство 2123 от 28.03.2026 </v>
      </c>
      <c r="B23" s="141"/>
      <c r="C23" s="22">
        <f t="shared" si="5"/>
        <v>206.67</v>
      </c>
      <c r="D23">
        <f t="shared" si="6"/>
        <v>18.068000000000001</v>
      </c>
      <c r="E23">
        <f t="shared" si="6"/>
        <v>53.95</v>
      </c>
      <c r="F23">
        <f t="shared" si="6"/>
        <v>46.026000000000003</v>
      </c>
      <c r="G23">
        <f t="shared" si="6"/>
        <v>17.46</v>
      </c>
      <c r="H23">
        <f t="shared" si="6"/>
        <v>0</v>
      </c>
      <c r="I23">
        <f t="shared" si="6"/>
        <v>0</v>
      </c>
      <c r="J23">
        <f t="shared" si="6"/>
        <v>0</v>
      </c>
    </row>
    <row r="24" spans="1:10" x14ac:dyDescent="0.25">
      <c r="A24" s="141" t="str">
        <f t="shared" si="4"/>
        <v xml:space="preserve">Производство 2126 от 29.03.2026 </v>
      </c>
      <c r="B24" s="141"/>
      <c r="C24" s="22">
        <f t="shared" si="5"/>
        <v>137.29</v>
      </c>
      <c r="D24">
        <f t="shared" si="6"/>
        <v>12.002000000000001</v>
      </c>
      <c r="E24">
        <f t="shared" si="6"/>
        <v>35.838999999999999</v>
      </c>
      <c r="F24">
        <f t="shared" si="6"/>
        <v>30.574999999999999</v>
      </c>
      <c r="G24">
        <f t="shared" si="6"/>
        <v>11.599</v>
      </c>
      <c r="H24">
        <f t="shared" si="6"/>
        <v>0</v>
      </c>
      <c r="I24">
        <f t="shared" si="6"/>
        <v>0</v>
      </c>
      <c r="J24">
        <f t="shared" si="6"/>
        <v>0</v>
      </c>
    </row>
    <row r="25" spans="1:10" x14ac:dyDescent="0.25">
      <c r="A25" s="141" t="str">
        <f t="shared" si="4"/>
        <v xml:space="preserve">Производство 2133 от 30.03.2026 </v>
      </c>
      <c r="B25" s="141"/>
      <c r="C25" s="22">
        <f t="shared" si="5"/>
        <v>348.97</v>
      </c>
      <c r="D25">
        <f t="shared" si="6"/>
        <v>30.507999999999999</v>
      </c>
      <c r="E25">
        <f t="shared" si="6"/>
        <v>91.096999999999994</v>
      </c>
      <c r="F25">
        <f t="shared" si="6"/>
        <v>77.716999999999999</v>
      </c>
      <c r="G25">
        <f t="shared" si="6"/>
        <v>29.481999999999999</v>
      </c>
      <c r="H25">
        <f t="shared" si="6"/>
        <v>0</v>
      </c>
      <c r="I25">
        <f t="shared" si="6"/>
        <v>0</v>
      </c>
      <c r="J25">
        <f t="shared" si="6"/>
        <v>0</v>
      </c>
    </row>
    <row r="26" spans="1:10" hidden="1" x14ac:dyDescent="0.25">
      <c r="A26" s="141">
        <f t="shared" si="4"/>
        <v>0</v>
      </c>
      <c r="B26" s="141"/>
      <c r="C26" s="22">
        <f t="shared" si="5"/>
        <v>0</v>
      </c>
      <c r="D26">
        <f t="shared" si="6"/>
        <v>0</v>
      </c>
      <c r="E26">
        <f t="shared" si="6"/>
        <v>0</v>
      </c>
      <c r="F26">
        <f t="shared" si="6"/>
        <v>0</v>
      </c>
      <c r="G26">
        <f t="shared" si="6"/>
        <v>0</v>
      </c>
      <c r="H26">
        <f t="shared" si="6"/>
        <v>0</v>
      </c>
      <c r="I26">
        <f t="shared" si="6"/>
        <v>0</v>
      </c>
      <c r="J26">
        <f t="shared" si="6"/>
        <v>0</v>
      </c>
    </row>
    <row r="27" spans="1:10" hidden="1" x14ac:dyDescent="0.25">
      <c r="A27" s="141">
        <f t="shared" si="4"/>
        <v>0</v>
      </c>
      <c r="B27" s="141"/>
      <c r="C27" s="22">
        <f t="shared" si="5"/>
        <v>0</v>
      </c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0</v>
      </c>
      <c r="H27">
        <f t="shared" si="6"/>
        <v>0</v>
      </c>
      <c r="I27">
        <f t="shared" si="6"/>
        <v>0</v>
      </c>
      <c r="J27">
        <f t="shared" si="6"/>
        <v>0</v>
      </c>
    </row>
    <row r="28" spans="1:10" hidden="1" x14ac:dyDescent="0.25">
      <c r="A28" s="141">
        <f t="shared" si="4"/>
        <v>0</v>
      </c>
      <c r="B28" s="141"/>
      <c r="C28" s="22">
        <f t="shared" si="5"/>
        <v>0</v>
      </c>
      <c r="D28">
        <f t="shared" si="6"/>
        <v>0</v>
      </c>
      <c r="E28">
        <f t="shared" si="6"/>
        <v>0</v>
      </c>
      <c r="F28">
        <f t="shared" si="6"/>
        <v>0</v>
      </c>
      <c r="G28">
        <f t="shared" si="6"/>
        <v>0</v>
      </c>
      <c r="H28">
        <f t="shared" si="6"/>
        <v>0</v>
      </c>
      <c r="I28">
        <f t="shared" si="6"/>
        <v>0</v>
      </c>
      <c r="J28">
        <f t="shared" si="6"/>
        <v>0</v>
      </c>
    </row>
    <row r="29" spans="1:10" hidden="1" x14ac:dyDescent="0.25">
      <c r="A29" s="141">
        <f t="shared" si="4"/>
        <v>0</v>
      </c>
      <c r="B29" s="141"/>
      <c r="C29" s="22">
        <f t="shared" si="5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</row>
    <row r="30" spans="1:10" hidden="1" x14ac:dyDescent="0.25">
      <c r="A30" s="141">
        <f t="shared" si="4"/>
        <v>0</v>
      </c>
      <c r="B30" s="141"/>
      <c r="C30" s="22">
        <f t="shared" si="5"/>
        <v>0</v>
      </c>
      <c r="D30">
        <f t="shared" si="6"/>
        <v>0</v>
      </c>
      <c r="E30">
        <f t="shared" si="6"/>
        <v>0</v>
      </c>
      <c r="F30">
        <f t="shared" si="6"/>
        <v>0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0</v>
      </c>
    </row>
    <row r="31" spans="1:10" hidden="1" x14ac:dyDescent="0.25">
      <c r="A31" s="141">
        <f t="shared" si="4"/>
        <v>0</v>
      </c>
      <c r="B31" s="141"/>
      <c r="C31" s="22">
        <f t="shared" si="5"/>
        <v>0</v>
      </c>
      <c r="D31">
        <f t="shared" si="6"/>
        <v>0</v>
      </c>
      <c r="E31">
        <f t="shared" si="6"/>
        <v>0</v>
      </c>
      <c r="F31">
        <f t="shared" si="6"/>
        <v>0</v>
      </c>
      <c r="G31">
        <f t="shared" si="6"/>
        <v>0</v>
      </c>
      <c r="H31">
        <f t="shared" si="6"/>
        <v>0</v>
      </c>
      <c r="I31">
        <f t="shared" si="6"/>
        <v>0</v>
      </c>
      <c r="J31">
        <f t="shared" si="6"/>
        <v>0</v>
      </c>
    </row>
    <row r="32" spans="1:10" hidden="1" x14ac:dyDescent="0.25">
      <c r="A32" s="141">
        <f t="shared" si="4"/>
        <v>0</v>
      </c>
      <c r="B32" s="141"/>
      <c r="C32" s="22">
        <f t="shared" si="5"/>
        <v>0</v>
      </c>
      <c r="D32">
        <f t="shared" si="6"/>
        <v>0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6"/>
        <v>0</v>
      </c>
      <c r="I32">
        <f t="shared" si="6"/>
        <v>0</v>
      </c>
      <c r="J32">
        <f t="shared" si="6"/>
        <v>0</v>
      </c>
    </row>
    <row r="33" spans="1:10" hidden="1" x14ac:dyDescent="0.25">
      <c r="A33" s="141">
        <f t="shared" si="4"/>
        <v>0</v>
      </c>
      <c r="B33" s="141"/>
      <c r="C33" s="22">
        <f t="shared" si="5"/>
        <v>0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0</v>
      </c>
      <c r="H33">
        <f t="shared" si="6"/>
        <v>0</v>
      </c>
      <c r="I33">
        <f t="shared" si="6"/>
        <v>0</v>
      </c>
      <c r="J33">
        <f t="shared" si="6"/>
        <v>0</v>
      </c>
    </row>
    <row r="34" spans="1:10" ht="0.75" customHeight="1" thickBot="1" x14ac:dyDescent="0.3">
      <c r="A34" s="141">
        <f t="shared" si="4"/>
        <v>0</v>
      </c>
      <c r="B34" s="141"/>
      <c r="C34" s="22">
        <f t="shared" si="5"/>
        <v>0</v>
      </c>
      <c r="D34">
        <f t="shared" si="6"/>
        <v>0</v>
      </c>
      <c r="E34">
        <f t="shared" si="6"/>
        <v>0</v>
      </c>
      <c r="F34">
        <f t="shared" si="6"/>
        <v>0</v>
      </c>
      <c r="G34">
        <f t="shared" si="6"/>
        <v>0</v>
      </c>
      <c r="H34">
        <f t="shared" si="6"/>
        <v>0</v>
      </c>
      <c r="I34">
        <f t="shared" si="6"/>
        <v>0</v>
      </c>
      <c r="J34">
        <f t="shared" si="6"/>
        <v>0</v>
      </c>
    </row>
    <row r="35" spans="1:10" ht="15" customHeight="1" x14ac:dyDescent="0.25">
      <c r="A35" s="137" t="s">
        <v>6</v>
      </c>
      <c r="B35" s="137"/>
      <c r="C35" s="12">
        <f>SUM(C22:C34)</f>
        <v>880.77</v>
      </c>
      <c r="D35" s="2">
        <f>SUM(D22:D34)</f>
        <v>77</v>
      </c>
      <c r="E35" s="2">
        <f>SUM(E22:E34)</f>
        <v>229.92099999999999</v>
      </c>
      <c r="F35" s="2">
        <f t="shared" ref="F35:J35" si="7">SUM(F22:F34)</f>
        <v>196.15100000000001</v>
      </c>
      <c r="G35" s="2">
        <f t="shared" si="7"/>
        <v>74.41</v>
      </c>
      <c r="H35" s="2">
        <f t="shared" si="7"/>
        <v>0</v>
      </c>
      <c r="I35" s="2">
        <f t="shared" si="7"/>
        <v>0</v>
      </c>
      <c r="J35" s="2">
        <f t="shared" si="7"/>
        <v>0</v>
      </c>
    </row>
    <row r="37" spans="1:10" x14ac:dyDescent="0.25">
      <c r="C37" s="122" t="s">
        <v>550</v>
      </c>
      <c r="D37" s="186"/>
      <c r="E37" s="187"/>
      <c r="F37" s="188"/>
    </row>
    <row r="38" spans="1:10" x14ac:dyDescent="0.25">
      <c r="C38" s="118"/>
      <c r="D38" s="118" t="s">
        <v>107</v>
      </c>
      <c r="E38" s="118" t="s">
        <v>108</v>
      </c>
      <c r="F38" s="118" t="s">
        <v>109</v>
      </c>
    </row>
    <row r="39" spans="1:10" x14ac:dyDescent="0.25">
      <c r="C39" s="128" t="str">
        <f>D4</f>
        <v>150dne суровая</v>
      </c>
      <c r="D39" s="123">
        <f>D18/C18</f>
        <v>8.7423504433620583E-2</v>
      </c>
      <c r="E39" s="123"/>
      <c r="F39" s="124" t="e">
        <f>D39/E39-1</f>
        <v>#DIV/0!</v>
      </c>
      <c r="G39" s="121"/>
      <c r="H39" s="121"/>
      <c r="I39" s="121"/>
      <c r="J39" s="121"/>
    </row>
    <row r="40" spans="1:10" x14ac:dyDescent="0.25">
      <c r="C40" s="118" t="str">
        <f>E4</f>
        <v xml:space="preserve">600dne Турция </v>
      </c>
      <c r="D40" s="123">
        <f>E18/C18</f>
        <v>0.26104431349841617</v>
      </c>
      <c r="E40" s="123"/>
      <c r="F40" s="124" t="e">
        <f t="shared" ref="F40:F42" si="8">D40/E40-1</f>
        <v>#DIV/0!</v>
      </c>
    </row>
    <row r="41" spans="1:10" x14ac:dyDescent="0.25">
      <c r="C41" s="128" t="str">
        <f>F4</f>
        <v>Пряжа (хл-виск-лен) 20текс</v>
      </c>
      <c r="D41" s="123">
        <f>F18/C18</f>
        <v>0.22270286226824257</v>
      </c>
      <c r="E41" s="123"/>
      <c r="F41" s="124" t="e">
        <f t="shared" si="8"/>
        <v>#DIV/0!</v>
      </c>
      <c r="G41" s="121"/>
      <c r="H41" s="121"/>
      <c r="I41" s="121"/>
      <c r="J41" s="121"/>
    </row>
    <row r="42" spans="1:10" x14ac:dyDescent="0.25">
      <c r="C42" s="128" t="str">
        <f>G4</f>
        <v>Трилобал неокраш</v>
      </c>
      <c r="D42" s="123">
        <f>G18/C18</f>
        <v>8.4482895648126069E-2</v>
      </c>
      <c r="E42" s="123"/>
      <c r="F42" s="124" t="e">
        <f t="shared" si="8"/>
        <v>#DIV/0!</v>
      </c>
    </row>
    <row r="43" spans="1:10" x14ac:dyDescent="0.25">
      <c r="D43" s="121"/>
      <c r="E43" s="121"/>
      <c r="F43" s="50"/>
    </row>
    <row r="44" spans="1:10" x14ac:dyDescent="0.25">
      <c r="A44" s="191" t="s">
        <v>568</v>
      </c>
      <c r="B44" s="191"/>
      <c r="C44" s="191"/>
      <c r="D44" s="191"/>
      <c r="E44" s="191"/>
      <c r="F44" s="191"/>
      <c r="G44" s="191"/>
    </row>
    <row r="46" spans="1:10" x14ac:dyDescent="0.25">
      <c r="A46" s="138"/>
      <c r="B46" s="138"/>
      <c r="C46" s="138"/>
      <c r="D46" s="138"/>
      <c r="E46" s="138"/>
      <c r="F46" s="138"/>
      <c r="G46" s="138"/>
    </row>
  </sheetData>
  <mergeCells count="32">
    <mergeCell ref="A44:G44"/>
    <mergeCell ref="A46:G46"/>
    <mergeCell ref="A5:B5"/>
    <mergeCell ref="A6:B6"/>
    <mergeCell ref="A7:B7"/>
    <mergeCell ref="A8:B8"/>
    <mergeCell ref="A31:B31"/>
    <mergeCell ref="A32:B32"/>
    <mergeCell ref="A33:B33"/>
    <mergeCell ref="A34:B34"/>
    <mergeCell ref="A35:B35"/>
    <mergeCell ref="D37:F37"/>
    <mergeCell ref="A25:B25"/>
    <mergeCell ref="A26:B26"/>
    <mergeCell ref="A27:B27"/>
    <mergeCell ref="A28:B28"/>
    <mergeCell ref="A29:B29"/>
    <mergeCell ref="A30:B30"/>
    <mergeCell ref="A16:B16"/>
    <mergeCell ref="A17:B17"/>
    <mergeCell ref="A18:B18"/>
    <mergeCell ref="A22:B22"/>
    <mergeCell ref="A23:B23"/>
    <mergeCell ref="A24:B24"/>
    <mergeCell ref="A15:B15"/>
    <mergeCell ref="A1:E1"/>
    <mergeCell ref="A9:B9"/>
    <mergeCell ref="A10:B10"/>
    <mergeCell ref="A11:B11"/>
    <mergeCell ref="A12:B12"/>
    <mergeCell ref="A13:B13"/>
    <mergeCell ref="A14:B14"/>
  </mergeCells>
  <pageMargins left="0.70866141732283472" right="0.70866141732283472" top="0.74803149606299213" bottom="0.74803149606299213" header="0.31496062992125984" footer="0.31496062992125984"/>
  <pageSetup paperSize="9" scale="74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workbookViewId="0">
      <selection activeCell="G50" sqref="G49:G50"/>
    </sheetView>
  </sheetViews>
  <sheetFormatPr defaultRowHeight="15" x14ac:dyDescent="0.25"/>
  <cols>
    <col min="1" max="1" width="27.5703125" customWidth="1"/>
    <col min="3" max="3" width="18" customWidth="1"/>
    <col min="4" max="4" width="16.28515625" customWidth="1"/>
    <col min="5" max="5" width="15.28515625" customWidth="1"/>
    <col min="6" max="6" width="17" customWidth="1"/>
    <col min="7" max="7" width="13.5703125" customWidth="1"/>
    <col min="8" max="8" width="9.140625" hidden="1" customWidth="1"/>
    <col min="9" max="10" width="10.5703125" hidden="1" customWidth="1"/>
  </cols>
  <sheetData>
    <row r="1" spans="1:10" x14ac:dyDescent="0.25">
      <c r="A1" s="138" t="s">
        <v>592</v>
      </c>
      <c r="B1" s="138"/>
      <c r="C1" s="138"/>
      <c r="D1" s="138"/>
      <c r="E1" s="138"/>
      <c r="G1" s="88">
        <v>46112</v>
      </c>
    </row>
    <row r="2" spans="1:10" x14ac:dyDescent="0.25">
      <c r="A2" s="37"/>
      <c r="B2" s="130"/>
      <c r="C2" s="130"/>
      <c r="D2" s="130"/>
      <c r="E2" s="130"/>
    </row>
    <row r="3" spans="1:10" x14ac:dyDescent="0.25">
      <c r="A3" s="37" t="s">
        <v>593</v>
      </c>
      <c r="D3" s="89" t="s">
        <v>600</v>
      </c>
      <c r="E3" s="89" t="s">
        <v>594</v>
      </c>
    </row>
    <row r="4" spans="1:10" ht="30" x14ac:dyDescent="0.25">
      <c r="D4" s="38" t="s">
        <v>460</v>
      </c>
      <c r="E4" s="38" t="s">
        <v>143</v>
      </c>
      <c r="F4" s="38" t="s">
        <v>595</v>
      </c>
      <c r="G4" s="38" t="s">
        <v>596</v>
      </c>
      <c r="H4" s="4"/>
      <c r="I4" s="4"/>
      <c r="J4" s="4"/>
    </row>
    <row r="5" spans="1:10" ht="15" customHeight="1" x14ac:dyDescent="0.25">
      <c r="A5" s="198" t="s">
        <v>597</v>
      </c>
      <c r="B5" s="198"/>
      <c r="C5" s="135">
        <v>118.22</v>
      </c>
      <c r="D5">
        <f t="shared" ref="D5:J17" si="0">$C5/$C$18*D$18</f>
        <v>23.603651877133107</v>
      </c>
      <c r="E5">
        <f t="shared" si="0"/>
        <v>10.064965337030719</v>
      </c>
      <c r="F5">
        <f t="shared" si="0"/>
        <v>12.646614761092151</v>
      </c>
      <c r="G5">
        <f t="shared" si="0"/>
        <v>30.363433482650741</v>
      </c>
      <c r="H5">
        <f t="shared" si="0"/>
        <v>0</v>
      </c>
      <c r="I5">
        <f t="shared" si="0"/>
        <v>0</v>
      </c>
      <c r="J5">
        <f t="shared" si="0"/>
        <v>0</v>
      </c>
    </row>
    <row r="6" spans="1:10" ht="15" customHeight="1" x14ac:dyDescent="0.25">
      <c r="A6" s="198" t="s">
        <v>598</v>
      </c>
      <c r="B6" s="198"/>
      <c r="C6" s="135">
        <v>408.81</v>
      </c>
      <c r="D6">
        <f t="shared" si="0"/>
        <v>81.622474402730376</v>
      </c>
      <c r="E6">
        <f t="shared" si="0"/>
        <v>34.805096256399324</v>
      </c>
      <c r="F6">
        <f t="shared" si="0"/>
        <v>43.732554394197955</v>
      </c>
      <c r="G6">
        <f t="shared" si="0"/>
        <v>104.99809881612629</v>
      </c>
      <c r="H6">
        <f t="shared" si="0"/>
        <v>0</v>
      </c>
      <c r="I6">
        <f t="shared" si="0"/>
        <v>0</v>
      </c>
      <c r="J6">
        <f t="shared" si="0"/>
        <v>0</v>
      </c>
    </row>
    <row r="7" spans="1:10" ht="15" customHeight="1" thickBot="1" x14ac:dyDescent="0.3">
      <c r="A7" s="198" t="s">
        <v>599</v>
      </c>
      <c r="B7" s="198"/>
      <c r="C7" s="135">
        <v>35.53</v>
      </c>
      <c r="D7">
        <f t="shared" si="0"/>
        <v>7.0938737201365187</v>
      </c>
      <c r="E7">
        <f t="shared" si="0"/>
        <v>3.0249384065699663</v>
      </c>
      <c r="F7">
        <f t="shared" si="0"/>
        <v>3.8008308447098975</v>
      </c>
      <c r="G7">
        <f t="shared" si="0"/>
        <v>9.1254677012229806</v>
      </c>
      <c r="H7">
        <f t="shared" si="0"/>
        <v>0</v>
      </c>
      <c r="I7">
        <f t="shared" si="0"/>
        <v>0</v>
      </c>
      <c r="J7">
        <f t="shared" si="0"/>
        <v>0</v>
      </c>
    </row>
    <row r="8" spans="1:10" ht="15" hidden="1" customHeight="1" thickBot="1" x14ac:dyDescent="0.3">
      <c r="A8" s="197"/>
      <c r="B8" s="197"/>
      <c r="C8" s="129"/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</row>
    <row r="9" spans="1:10" ht="15.75" hidden="1" thickBot="1" x14ac:dyDescent="0.3">
      <c r="A9" s="189"/>
      <c r="B9" s="189"/>
      <c r="C9" s="125"/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</row>
    <row r="10" spans="1:10" ht="15.75" hidden="1" thickBot="1" x14ac:dyDescent="0.3">
      <c r="A10" s="189"/>
      <c r="B10" s="189"/>
      <c r="C10" s="125"/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</row>
    <row r="11" spans="1:10" ht="15.75" hidden="1" thickBot="1" x14ac:dyDescent="0.3">
      <c r="A11" s="189"/>
      <c r="B11" s="189"/>
      <c r="C11" s="125"/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</row>
    <row r="12" spans="1:10" ht="15" hidden="1" customHeight="1" x14ac:dyDescent="0.25">
      <c r="A12" s="189"/>
      <c r="B12" s="189"/>
      <c r="C12" s="125"/>
      <c r="D12">
        <f>$C12/$C$18*D$18</f>
        <v>0</v>
      </c>
      <c r="E12">
        <f>$C12/$C$18*E$18</f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</row>
    <row r="13" spans="1:10" ht="15" hidden="1" customHeight="1" x14ac:dyDescent="0.25">
      <c r="A13" s="146"/>
      <c r="B13" s="146"/>
      <c r="C13" s="24"/>
      <c r="D13">
        <f t="shared" ref="D13:E17" si="1">$C13/$C$18*D$18</f>
        <v>0</v>
      </c>
      <c r="E13">
        <f t="shared" si="1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</row>
    <row r="14" spans="1:10" ht="15" hidden="1" customHeight="1" x14ac:dyDescent="0.25">
      <c r="A14" s="146"/>
      <c r="B14" s="146"/>
      <c r="C14" s="24"/>
      <c r="D14">
        <f t="shared" si="1"/>
        <v>0</v>
      </c>
      <c r="E14">
        <f t="shared" si="1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</row>
    <row r="15" spans="1:10" ht="15" hidden="1" customHeight="1" x14ac:dyDescent="0.25">
      <c r="A15" s="146"/>
      <c r="B15" s="146"/>
      <c r="C15" s="24"/>
      <c r="D15">
        <f t="shared" si="1"/>
        <v>0</v>
      </c>
      <c r="E15">
        <f t="shared" si="1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</row>
    <row r="16" spans="1:10" ht="15" hidden="1" customHeight="1" x14ac:dyDescent="0.25">
      <c r="A16" s="146"/>
      <c r="B16" s="146"/>
      <c r="C16" s="24"/>
      <c r="D16">
        <f t="shared" si="1"/>
        <v>0</v>
      </c>
      <c r="E16">
        <f t="shared" si="1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</row>
    <row r="17" spans="1:10" ht="15.75" hidden="1" customHeight="1" thickBot="1" x14ac:dyDescent="0.3">
      <c r="A17" s="141"/>
      <c r="B17" s="141"/>
      <c r="C17" s="11"/>
      <c r="D17">
        <f t="shared" si="1"/>
        <v>0</v>
      </c>
      <c r="E17">
        <f t="shared" si="1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</row>
    <row r="18" spans="1:10" x14ac:dyDescent="0.25">
      <c r="A18" s="137" t="s">
        <v>6</v>
      </c>
      <c r="B18" s="137"/>
      <c r="C18" s="12">
        <f>SUM(C5:C17)</f>
        <v>562.55999999999995</v>
      </c>
      <c r="D18" s="2">
        <v>112.32</v>
      </c>
      <c r="E18" s="2">
        <v>47.895000000000003</v>
      </c>
      <c r="F18" s="2">
        <v>60.18</v>
      </c>
      <c r="G18" s="2">
        <v>144.48699999999999</v>
      </c>
      <c r="H18" s="2"/>
      <c r="I18" s="2"/>
      <c r="J18" s="2"/>
    </row>
    <row r="19" spans="1:10" x14ac:dyDescent="0.25">
      <c r="F19" s="91"/>
    </row>
    <row r="20" spans="1:10" x14ac:dyDescent="0.25">
      <c r="F20" s="91"/>
    </row>
    <row r="21" spans="1:10" s="47" customFormat="1" ht="27" customHeight="1" x14ac:dyDescent="0.25">
      <c r="D21" s="38" t="str">
        <f t="shared" ref="D21:F21" si="2">D4</f>
        <v xml:space="preserve">600dne Турция </v>
      </c>
      <c r="E21" s="38" t="str">
        <f t="shared" si="2"/>
        <v>150dne суровая</v>
      </c>
      <c r="F21" s="38" t="str">
        <f t="shared" si="2"/>
        <v>Нить 3603 черная</v>
      </c>
      <c r="G21" s="38" t="str">
        <f>G4</f>
        <v>Меланж 25текс (б+ч)</v>
      </c>
      <c r="H21" s="48">
        <f t="shared" ref="H21:J21" si="3">H4</f>
        <v>0</v>
      </c>
      <c r="I21" s="48">
        <f t="shared" si="3"/>
        <v>0</v>
      </c>
      <c r="J21" s="48">
        <f t="shared" si="3"/>
        <v>0</v>
      </c>
    </row>
    <row r="22" spans="1:10" x14ac:dyDescent="0.25">
      <c r="A22" s="141" t="str">
        <f t="shared" ref="A22:A34" si="4">A5</f>
        <v xml:space="preserve">Производство 327 от 29.03.2026 </v>
      </c>
      <c r="B22" s="141"/>
      <c r="C22" s="22">
        <f t="shared" ref="C22:C34" si="5">C5</f>
        <v>118.22</v>
      </c>
      <c r="D22">
        <f t="shared" ref="D22:J34" si="6">ROUND(D5,3)</f>
        <v>23.603999999999999</v>
      </c>
      <c r="E22">
        <f t="shared" si="6"/>
        <v>10.065</v>
      </c>
      <c r="F22">
        <f t="shared" si="6"/>
        <v>12.647</v>
      </c>
      <c r="G22">
        <f t="shared" si="6"/>
        <v>30.363</v>
      </c>
      <c r="H22">
        <f t="shared" si="6"/>
        <v>0</v>
      </c>
      <c r="I22">
        <f t="shared" si="6"/>
        <v>0</v>
      </c>
      <c r="J22">
        <f t="shared" si="6"/>
        <v>0</v>
      </c>
    </row>
    <row r="23" spans="1:10" x14ac:dyDescent="0.25">
      <c r="A23" s="141" t="str">
        <f t="shared" si="4"/>
        <v xml:space="preserve">Производство 328 от 30.03.2026 </v>
      </c>
      <c r="B23" s="141"/>
      <c r="C23" s="22">
        <f t="shared" si="5"/>
        <v>408.81</v>
      </c>
      <c r="D23">
        <f t="shared" si="6"/>
        <v>81.622</v>
      </c>
      <c r="E23">
        <f t="shared" si="6"/>
        <v>34.805</v>
      </c>
      <c r="F23">
        <f t="shared" si="6"/>
        <v>43.732999999999997</v>
      </c>
      <c r="G23">
        <f t="shared" si="6"/>
        <v>104.998</v>
      </c>
      <c r="H23">
        <f t="shared" si="6"/>
        <v>0</v>
      </c>
      <c r="I23">
        <f t="shared" si="6"/>
        <v>0</v>
      </c>
      <c r="J23">
        <f t="shared" si="6"/>
        <v>0</v>
      </c>
    </row>
    <row r="24" spans="1:10" x14ac:dyDescent="0.25">
      <c r="A24" s="141" t="str">
        <f t="shared" si="4"/>
        <v xml:space="preserve">Производство 336 от 31.03.2026 </v>
      </c>
      <c r="B24" s="141"/>
      <c r="C24" s="22">
        <f t="shared" si="5"/>
        <v>35.53</v>
      </c>
      <c r="D24">
        <f t="shared" si="6"/>
        <v>7.0940000000000003</v>
      </c>
      <c r="E24">
        <f t="shared" si="6"/>
        <v>3.0249999999999999</v>
      </c>
      <c r="F24">
        <f t="shared" si="6"/>
        <v>3.8010000000000002</v>
      </c>
      <c r="G24">
        <f t="shared" si="6"/>
        <v>9.125</v>
      </c>
      <c r="H24">
        <f t="shared" si="6"/>
        <v>0</v>
      </c>
      <c r="I24">
        <f t="shared" si="6"/>
        <v>0</v>
      </c>
      <c r="J24">
        <f t="shared" si="6"/>
        <v>0</v>
      </c>
    </row>
    <row r="25" spans="1:10" hidden="1" x14ac:dyDescent="0.25">
      <c r="A25" s="141">
        <f t="shared" si="4"/>
        <v>0</v>
      </c>
      <c r="B25" s="141"/>
      <c r="C25" s="22">
        <f t="shared" si="5"/>
        <v>0</v>
      </c>
      <c r="D25">
        <f t="shared" si="6"/>
        <v>0</v>
      </c>
      <c r="E25">
        <f t="shared" si="6"/>
        <v>0</v>
      </c>
      <c r="F25">
        <f t="shared" si="6"/>
        <v>0</v>
      </c>
      <c r="G25">
        <f t="shared" si="6"/>
        <v>0</v>
      </c>
      <c r="H25">
        <f t="shared" si="6"/>
        <v>0</v>
      </c>
      <c r="I25">
        <f t="shared" si="6"/>
        <v>0</v>
      </c>
      <c r="J25">
        <f t="shared" si="6"/>
        <v>0</v>
      </c>
    </row>
    <row r="26" spans="1:10" hidden="1" x14ac:dyDescent="0.25">
      <c r="A26" s="141">
        <f t="shared" si="4"/>
        <v>0</v>
      </c>
      <c r="B26" s="141"/>
      <c r="C26" s="22">
        <f t="shared" si="5"/>
        <v>0</v>
      </c>
      <c r="D26">
        <f t="shared" si="6"/>
        <v>0</v>
      </c>
      <c r="E26">
        <f t="shared" si="6"/>
        <v>0</v>
      </c>
      <c r="F26">
        <f t="shared" si="6"/>
        <v>0</v>
      </c>
      <c r="G26">
        <f t="shared" si="6"/>
        <v>0</v>
      </c>
      <c r="H26">
        <f t="shared" si="6"/>
        <v>0</v>
      </c>
      <c r="I26">
        <f t="shared" si="6"/>
        <v>0</v>
      </c>
      <c r="J26">
        <f t="shared" si="6"/>
        <v>0</v>
      </c>
    </row>
    <row r="27" spans="1:10" hidden="1" x14ac:dyDescent="0.25">
      <c r="A27" s="141">
        <f t="shared" si="4"/>
        <v>0</v>
      </c>
      <c r="B27" s="141"/>
      <c r="C27" s="22">
        <f t="shared" si="5"/>
        <v>0</v>
      </c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0</v>
      </c>
      <c r="H27">
        <f t="shared" si="6"/>
        <v>0</v>
      </c>
      <c r="I27">
        <f t="shared" si="6"/>
        <v>0</v>
      </c>
      <c r="J27">
        <f t="shared" si="6"/>
        <v>0</v>
      </c>
    </row>
    <row r="28" spans="1:10" hidden="1" x14ac:dyDescent="0.25">
      <c r="A28" s="141">
        <f t="shared" si="4"/>
        <v>0</v>
      </c>
      <c r="B28" s="141"/>
      <c r="C28" s="22">
        <f t="shared" si="5"/>
        <v>0</v>
      </c>
      <c r="D28">
        <f t="shared" si="6"/>
        <v>0</v>
      </c>
      <c r="E28">
        <f t="shared" si="6"/>
        <v>0</v>
      </c>
      <c r="F28">
        <f t="shared" si="6"/>
        <v>0</v>
      </c>
      <c r="G28">
        <f t="shared" si="6"/>
        <v>0</v>
      </c>
      <c r="H28">
        <f t="shared" si="6"/>
        <v>0</v>
      </c>
      <c r="I28">
        <f t="shared" si="6"/>
        <v>0</v>
      </c>
      <c r="J28">
        <f t="shared" si="6"/>
        <v>0</v>
      </c>
    </row>
    <row r="29" spans="1:10" hidden="1" x14ac:dyDescent="0.25">
      <c r="A29" s="141">
        <f t="shared" si="4"/>
        <v>0</v>
      </c>
      <c r="B29" s="141"/>
      <c r="C29" s="22">
        <f t="shared" si="5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</row>
    <row r="30" spans="1:10" hidden="1" x14ac:dyDescent="0.25">
      <c r="A30" s="141">
        <f t="shared" si="4"/>
        <v>0</v>
      </c>
      <c r="B30" s="141"/>
      <c r="C30" s="22">
        <f t="shared" si="5"/>
        <v>0</v>
      </c>
      <c r="D30">
        <f t="shared" si="6"/>
        <v>0</v>
      </c>
      <c r="E30">
        <f t="shared" si="6"/>
        <v>0</v>
      </c>
      <c r="F30">
        <f t="shared" si="6"/>
        <v>0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0</v>
      </c>
    </row>
    <row r="31" spans="1:10" hidden="1" x14ac:dyDescent="0.25">
      <c r="A31" s="141">
        <f t="shared" si="4"/>
        <v>0</v>
      </c>
      <c r="B31" s="141"/>
      <c r="C31" s="22">
        <f t="shared" si="5"/>
        <v>0</v>
      </c>
      <c r="D31">
        <f t="shared" si="6"/>
        <v>0</v>
      </c>
      <c r="E31">
        <f t="shared" si="6"/>
        <v>0</v>
      </c>
      <c r="F31">
        <f t="shared" si="6"/>
        <v>0</v>
      </c>
      <c r="G31">
        <f t="shared" si="6"/>
        <v>0</v>
      </c>
      <c r="H31">
        <f t="shared" si="6"/>
        <v>0</v>
      </c>
      <c r="I31">
        <f t="shared" si="6"/>
        <v>0</v>
      </c>
      <c r="J31">
        <f t="shared" si="6"/>
        <v>0</v>
      </c>
    </row>
    <row r="32" spans="1:10" hidden="1" x14ac:dyDescent="0.25">
      <c r="A32" s="141">
        <f t="shared" si="4"/>
        <v>0</v>
      </c>
      <c r="B32" s="141"/>
      <c r="C32" s="22">
        <f t="shared" si="5"/>
        <v>0</v>
      </c>
      <c r="D32">
        <f t="shared" si="6"/>
        <v>0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6"/>
        <v>0</v>
      </c>
      <c r="I32">
        <f t="shared" si="6"/>
        <v>0</v>
      </c>
      <c r="J32">
        <f t="shared" si="6"/>
        <v>0</v>
      </c>
    </row>
    <row r="33" spans="1:10" hidden="1" x14ac:dyDescent="0.25">
      <c r="A33" s="141">
        <f t="shared" si="4"/>
        <v>0</v>
      </c>
      <c r="B33" s="141"/>
      <c r="C33" s="22">
        <f t="shared" si="5"/>
        <v>0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0</v>
      </c>
      <c r="H33">
        <f t="shared" si="6"/>
        <v>0</v>
      </c>
      <c r="I33">
        <f t="shared" si="6"/>
        <v>0</v>
      </c>
      <c r="J33">
        <f t="shared" si="6"/>
        <v>0</v>
      </c>
    </row>
    <row r="34" spans="1:10" ht="0.75" customHeight="1" thickBot="1" x14ac:dyDescent="0.3">
      <c r="A34" s="141">
        <f t="shared" si="4"/>
        <v>0</v>
      </c>
      <c r="B34" s="141"/>
      <c r="C34" s="22">
        <f t="shared" si="5"/>
        <v>0</v>
      </c>
      <c r="D34">
        <f t="shared" si="6"/>
        <v>0</v>
      </c>
      <c r="E34">
        <f t="shared" si="6"/>
        <v>0</v>
      </c>
      <c r="F34">
        <f t="shared" si="6"/>
        <v>0</v>
      </c>
      <c r="G34">
        <f t="shared" si="6"/>
        <v>0</v>
      </c>
      <c r="H34">
        <f t="shared" si="6"/>
        <v>0</v>
      </c>
      <c r="I34">
        <f t="shared" si="6"/>
        <v>0</v>
      </c>
      <c r="J34">
        <f t="shared" si="6"/>
        <v>0</v>
      </c>
    </row>
    <row r="35" spans="1:10" ht="15" customHeight="1" x14ac:dyDescent="0.25">
      <c r="A35" s="137" t="s">
        <v>6</v>
      </c>
      <c r="B35" s="137"/>
      <c r="C35" s="12">
        <f>SUM(C22:C34)</f>
        <v>562.55999999999995</v>
      </c>
      <c r="D35" s="2">
        <f>SUM(D22:D34)</f>
        <v>112.32</v>
      </c>
      <c r="E35" s="2">
        <f>SUM(E22:E34)</f>
        <v>47.894999999999996</v>
      </c>
      <c r="F35" s="2">
        <f t="shared" ref="F35:J35" si="7">SUM(F22:F34)</f>
        <v>60.180999999999997</v>
      </c>
      <c r="G35" s="2">
        <f t="shared" si="7"/>
        <v>144.48599999999999</v>
      </c>
      <c r="H35" s="2">
        <f t="shared" si="7"/>
        <v>0</v>
      </c>
      <c r="I35" s="2">
        <f t="shared" si="7"/>
        <v>0</v>
      </c>
      <c r="J35" s="2">
        <f t="shared" si="7"/>
        <v>0</v>
      </c>
    </row>
    <row r="37" spans="1:10" x14ac:dyDescent="0.25">
      <c r="C37" s="122" t="s">
        <v>550</v>
      </c>
      <c r="D37" s="186"/>
      <c r="E37" s="187"/>
      <c r="F37" s="188"/>
    </row>
    <row r="38" spans="1:10" x14ac:dyDescent="0.25">
      <c r="C38" s="118"/>
      <c r="D38" s="118" t="s">
        <v>107</v>
      </c>
      <c r="E38" s="118" t="s">
        <v>108</v>
      </c>
      <c r="F38" s="118" t="s">
        <v>109</v>
      </c>
    </row>
    <row r="39" spans="1:10" x14ac:dyDescent="0.25">
      <c r="C39" s="131" t="str">
        <f>D4</f>
        <v xml:space="preserve">600dne Турция </v>
      </c>
      <c r="D39" s="123">
        <f>D18/C18</f>
        <v>0.19965870307167236</v>
      </c>
      <c r="E39" s="123"/>
      <c r="F39" s="124" t="e">
        <f>D39/E39-1</f>
        <v>#DIV/0!</v>
      </c>
      <c r="G39" s="130"/>
      <c r="H39" s="130"/>
      <c r="I39" s="130"/>
      <c r="J39" s="130"/>
    </row>
    <row r="40" spans="1:10" x14ac:dyDescent="0.25">
      <c r="C40" s="134" t="str">
        <f>E4</f>
        <v>150dne суровая</v>
      </c>
      <c r="D40" s="123">
        <f>E18/C18</f>
        <v>8.5137585324232101E-2</v>
      </c>
      <c r="E40" s="123"/>
      <c r="F40" s="124" t="e">
        <f t="shared" ref="F40:F42" si="8">D40/E40-1</f>
        <v>#DIV/0!</v>
      </c>
    </row>
    <row r="41" spans="1:10" x14ac:dyDescent="0.25">
      <c r="C41" s="131" t="str">
        <f>F4</f>
        <v>Нить 3603 черная</v>
      </c>
      <c r="D41" s="123">
        <f>F18/C18</f>
        <v>0.10697525597269626</v>
      </c>
      <c r="E41" s="123"/>
      <c r="F41" s="124" t="e">
        <f t="shared" si="8"/>
        <v>#DIV/0!</v>
      </c>
      <c r="G41" s="130"/>
      <c r="H41" s="130"/>
      <c r="I41" s="130"/>
      <c r="J41" s="130"/>
    </row>
    <row r="42" spans="1:10" x14ac:dyDescent="0.25">
      <c r="C42" s="134" t="str">
        <f>G4</f>
        <v>Меланж 25текс (б+ч)</v>
      </c>
      <c r="D42" s="123">
        <f>G18/C18</f>
        <v>0.25683838168373152</v>
      </c>
      <c r="E42" s="123"/>
      <c r="F42" s="124" t="e">
        <f t="shared" si="8"/>
        <v>#DIV/0!</v>
      </c>
    </row>
    <row r="43" spans="1:10" x14ac:dyDescent="0.25">
      <c r="D43" s="130"/>
      <c r="E43" s="130"/>
      <c r="F43" s="50"/>
    </row>
    <row r="44" spans="1:10" x14ac:dyDescent="0.25">
      <c r="A44" s="191" t="s">
        <v>568</v>
      </c>
      <c r="B44" s="191"/>
      <c r="C44" s="191"/>
      <c r="D44" s="191"/>
      <c r="E44" s="191"/>
      <c r="F44" s="191"/>
      <c r="G44" s="191"/>
    </row>
    <row r="46" spans="1:10" x14ac:dyDescent="0.25">
      <c r="A46" s="138"/>
      <c r="B46" s="138"/>
      <c r="C46" s="138"/>
      <c r="D46" s="138"/>
      <c r="E46" s="138"/>
      <c r="F46" s="138"/>
      <c r="G46" s="138"/>
    </row>
  </sheetData>
  <mergeCells count="32">
    <mergeCell ref="A44:G44"/>
    <mergeCell ref="A46:G46"/>
    <mergeCell ref="A5:B5"/>
    <mergeCell ref="A6:B6"/>
    <mergeCell ref="A7:B7"/>
    <mergeCell ref="A31:B31"/>
    <mergeCell ref="A32:B32"/>
    <mergeCell ref="A33:B33"/>
    <mergeCell ref="A34:B34"/>
    <mergeCell ref="A35:B35"/>
    <mergeCell ref="D37:F37"/>
    <mergeCell ref="A25:B25"/>
    <mergeCell ref="A26:B26"/>
    <mergeCell ref="A27:B27"/>
    <mergeCell ref="A28:B28"/>
    <mergeCell ref="A29:B29"/>
    <mergeCell ref="A30:B30"/>
    <mergeCell ref="A16:B16"/>
    <mergeCell ref="A17:B17"/>
    <mergeCell ref="A18:B18"/>
    <mergeCell ref="A22:B22"/>
    <mergeCell ref="A23:B23"/>
    <mergeCell ref="A24:B24"/>
    <mergeCell ref="A15:B15"/>
    <mergeCell ref="A1:E1"/>
    <mergeCell ref="A8:B8"/>
    <mergeCell ref="A9:B9"/>
    <mergeCell ref="A10:B10"/>
    <mergeCell ref="A11:B11"/>
    <mergeCell ref="A12:B12"/>
    <mergeCell ref="A13:B13"/>
    <mergeCell ref="A14:B14"/>
  </mergeCells>
  <pageMargins left="0.70866141732283472" right="0.70866141732283472" top="0.74803149606299213" bottom="0.74803149606299213" header="0.31496062992125984" footer="0.31496062992125984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55</vt:i4>
      </vt:variant>
    </vt:vector>
  </HeadingPairs>
  <TitlesOfParts>
    <vt:vector size="55" baseType="lpstr">
      <vt:lpstr>Лист1</vt:lpstr>
      <vt:lpstr>1770</vt:lpstr>
      <vt:lpstr>1796</vt:lpstr>
      <vt:lpstr>1801и1802</vt:lpstr>
      <vt:lpstr>1650</vt:lpstr>
      <vt:lpstr>1960</vt:lpstr>
      <vt:lpstr>1872и1926</vt:lpstr>
      <vt:lpstr>1899</vt:lpstr>
      <vt:lpstr>1900</vt:lpstr>
      <vt:lpstr>1932</vt:lpstr>
      <vt:lpstr>1933</vt:lpstr>
      <vt:lpstr>1934</vt:lpstr>
      <vt:lpstr>1947</vt:lpstr>
      <vt:lpstr>1964</vt:lpstr>
      <vt:lpstr>2080</vt:lpstr>
      <vt:lpstr>2086</vt:lpstr>
      <vt:lpstr>2126</vt:lpstr>
      <vt:lpstr>2162</vt:lpstr>
      <vt:lpstr>2183</vt:lpstr>
      <vt:lpstr>У510</vt:lpstr>
      <vt:lpstr>2206</vt:lpstr>
      <vt:lpstr>2222</vt:lpstr>
      <vt:lpstr>2225</vt:lpstr>
      <vt:lpstr>2242</vt:lpstr>
      <vt:lpstr>2293</vt:lpstr>
      <vt:lpstr>2333</vt:lpstr>
      <vt:lpstr>2334</vt:lpstr>
      <vt:lpstr>2335</vt:lpstr>
      <vt:lpstr>У512</vt:lpstr>
      <vt:lpstr>У513</vt:lpstr>
      <vt:lpstr>У514</vt:lpstr>
      <vt:lpstr>У515</vt:lpstr>
      <vt:lpstr>41</vt:lpstr>
      <vt:lpstr>52 и 104</vt:lpstr>
      <vt:lpstr>У56</vt:lpstr>
      <vt:lpstr>114</vt:lpstr>
      <vt:lpstr>129</vt:lpstr>
      <vt:lpstr>131</vt:lpstr>
      <vt:lpstr>132</vt:lpstr>
      <vt:lpstr>133</vt:lpstr>
      <vt:lpstr>134 и 159</vt:lpstr>
      <vt:lpstr>137 и 135</vt:lpstr>
      <vt:lpstr>186</vt:lpstr>
      <vt:lpstr>197</vt:lpstr>
      <vt:lpstr>214</vt:lpstr>
      <vt:lpstr>215</vt:lpstr>
      <vt:lpstr>229</vt:lpstr>
      <vt:lpstr>263</vt:lpstr>
      <vt:lpstr>287</vt:lpstr>
      <vt:lpstr>316</vt:lpstr>
      <vt:lpstr>327</vt:lpstr>
      <vt:lpstr>Баймен</vt:lpstr>
      <vt:lpstr>380</vt:lpstr>
      <vt:lpstr>387</vt:lpstr>
      <vt:lpstr>У78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Гришакова</dc:creator>
  <cp:lastModifiedBy>Елена Гришакова</cp:lastModifiedBy>
  <cp:lastPrinted>2026-04-08T10:31:27Z</cp:lastPrinted>
  <dcterms:created xsi:type="dcterms:W3CDTF">2025-10-13T06:26:30Z</dcterms:created>
  <dcterms:modified xsi:type="dcterms:W3CDTF">2026-04-08T10:33:32Z</dcterms:modified>
</cp:coreProperties>
</file>